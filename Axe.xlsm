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364" yWindow="-12" windowWidth="11688" windowHeight="10272" activeTab="2"/>
  </bookViews>
  <sheets>
    <sheet name="C_P" sheetId="3" r:id="rId1"/>
    <sheet name="raw" sheetId="4" r:id="rId2"/>
    <sheet name="Board" sheetId="6" r:id="rId3"/>
    <sheet name="Sheet1" sheetId="7" r:id="rId4"/>
    <sheet name="Sheet2" sheetId="8" r:id="rId5"/>
  </sheets>
  <definedNames>
    <definedName name="current_mode">raw!$K$2</definedName>
    <definedName name="fretboard">#REF!</definedName>
    <definedName name="notes">raw!$U$3:$U$10</definedName>
    <definedName name="root_note">raw!$F$2</definedName>
  </definedNames>
  <calcPr calcId="145621"/>
</workbook>
</file>

<file path=xl/calcChain.xml><?xml version="1.0" encoding="utf-8"?>
<calcChain xmlns="http://schemas.openxmlformats.org/spreadsheetml/2006/main">
  <c r="A5" i="8" l="1"/>
  <c r="A7" i="8" s="1"/>
  <c r="A6" i="8" l="1"/>
  <c r="B5" i="8"/>
  <c r="B7" i="8"/>
  <c r="S2" i="4"/>
  <c r="R2" i="4"/>
  <c r="Q2" i="4"/>
  <c r="P2" i="4"/>
  <c r="O2" i="4"/>
  <c r="N2" i="4"/>
  <c r="M2" i="4"/>
  <c r="L2" i="4"/>
  <c r="B6" i="8" l="1"/>
  <c r="C6" i="8" s="1"/>
  <c r="D6" i="8" s="1"/>
  <c r="C5" i="8"/>
  <c r="C7" i="8"/>
  <c r="D5" i="8" s="1"/>
  <c r="T10" i="4"/>
  <c r="U10" i="4" s="1"/>
  <c r="T6" i="4"/>
  <c r="U6" i="4" s="1"/>
  <c r="T7" i="4"/>
  <c r="U7" i="4" s="1"/>
  <c r="T3" i="4"/>
  <c r="U3" i="4" s="1"/>
  <c r="T4" i="4"/>
  <c r="U4" i="4" s="1"/>
  <c r="T8" i="4"/>
  <c r="U8" i="4" s="1"/>
  <c r="T9" i="4"/>
  <c r="U9" i="4" s="1"/>
  <c r="T5" i="4"/>
  <c r="U5" i="4" s="1"/>
  <c r="E25" i="4"/>
  <c r="E24" i="4"/>
  <c r="E15" i="4"/>
  <c r="E16" i="4"/>
  <c r="E17" i="4"/>
  <c r="E18" i="4"/>
  <c r="E19" i="4"/>
  <c r="E20" i="4"/>
  <c r="E21" i="4"/>
  <c r="E22" i="4"/>
  <c r="E23" i="4"/>
  <c r="E14" i="4"/>
  <c r="D7" i="8" l="1"/>
  <c r="E5" i="8" s="1"/>
  <c r="E6" i="8" s="1"/>
  <c r="E7" i="8"/>
  <c r="L11" i="4"/>
  <c r="F7" i="8" l="1"/>
  <c r="F5" i="8"/>
  <c r="F6" i="8" s="1"/>
  <c r="G7" i="8" l="1"/>
  <c r="G5" i="8"/>
  <c r="G6" i="8" s="1"/>
  <c r="H7" i="8" l="1"/>
  <c r="H5" i="8"/>
  <c r="H6" i="8" s="1"/>
  <c r="I7" i="8" l="1"/>
  <c r="I5" i="8"/>
  <c r="I6" i="8" s="1"/>
  <c r="J7" i="8" l="1"/>
  <c r="J5" i="8"/>
  <c r="J6" i="8" s="1"/>
  <c r="K6" i="8" l="1"/>
  <c r="K7" i="8"/>
  <c r="K5" i="8"/>
  <c r="L5" i="8" l="1"/>
  <c r="L6" i="8" s="1"/>
  <c r="L7" i="8"/>
  <c r="M5" i="8" l="1"/>
  <c r="M6" i="8" s="1"/>
  <c r="M7" i="8"/>
  <c r="N5" i="8" l="1"/>
  <c r="N6" i="8" s="1"/>
  <c r="N7" i="8"/>
  <c r="O5" i="8" l="1"/>
  <c r="O6" i="8" s="1"/>
  <c r="O7" i="8"/>
  <c r="P7" i="8" l="1"/>
  <c r="P5" i="8"/>
  <c r="P6" i="8" s="1"/>
  <c r="Q5" i="8" l="1"/>
  <c r="Q7" i="8"/>
  <c r="R5" i="8" s="1"/>
  <c r="R7" i="8" l="1"/>
  <c r="Q6" i="8"/>
  <c r="R6" i="8" s="1"/>
  <c r="S5" i="8" l="1"/>
  <c r="S6" i="8" s="1"/>
  <c r="S7" i="8"/>
</calcChain>
</file>

<file path=xl/sharedStrings.xml><?xml version="1.0" encoding="utf-8"?>
<sst xmlns="http://schemas.openxmlformats.org/spreadsheetml/2006/main" count="946" uniqueCount="71">
  <si>
    <t>E</t>
  </si>
  <si>
    <t>B</t>
  </si>
  <si>
    <t>G</t>
  </si>
  <si>
    <t>D</t>
  </si>
  <si>
    <t>A</t>
  </si>
  <si>
    <t>F</t>
  </si>
  <si>
    <t>F#</t>
  </si>
  <si>
    <t>G#</t>
  </si>
  <si>
    <t>A#</t>
  </si>
  <si>
    <t>C</t>
  </si>
  <si>
    <t>C#</t>
  </si>
  <si>
    <t>D#</t>
  </si>
  <si>
    <t>m2</t>
  </si>
  <si>
    <t>m3</t>
  </si>
  <si>
    <t>m5</t>
  </si>
  <si>
    <t>m6</t>
  </si>
  <si>
    <t>m7</t>
  </si>
  <si>
    <t>M2</t>
  </si>
  <si>
    <t>O</t>
  </si>
  <si>
    <t>-</t>
  </si>
  <si>
    <t>M3</t>
  </si>
  <si>
    <t>P4</t>
  </si>
  <si>
    <t>M5</t>
  </si>
  <si>
    <t>M6</t>
  </si>
  <si>
    <t>M7</t>
  </si>
  <si>
    <t>Dozenal System</t>
  </si>
  <si>
    <t>X</t>
  </si>
  <si>
    <t>I</t>
  </si>
  <si>
    <t>one</t>
  </si>
  <si>
    <t>two</t>
  </si>
  <si>
    <t>three</t>
  </si>
  <si>
    <t>four</t>
  </si>
  <si>
    <t>five</t>
  </si>
  <si>
    <t>six</t>
  </si>
  <si>
    <t>seven</t>
  </si>
  <si>
    <t>eight</t>
  </si>
  <si>
    <t>nine</t>
  </si>
  <si>
    <t>dek</t>
  </si>
  <si>
    <t>el</t>
  </si>
  <si>
    <t>doh</t>
  </si>
  <si>
    <t>notes</t>
  </si>
  <si>
    <t>root</t>
  </si>
  <si>
    <t>locrian</t>
  </si>
  <si>
    <t>II</t>
  </si>
  <si>
    <t>III</t>
  </si>
  <si>
    <t>IV</t>
  </si>
  <si>
    <t>V</t>
  </si>
  <si>
    <t>VI</t>
  </si>
  <si>
    <t>VII</t>
  </si>
  <si>
    <t>VIII</t>
  </si>
  <si>
    <t>mode</t>
  </si>
  <si>
    <t>Ionian</t>
  </si>
  <si>
    <t>Dorian</t>
  </si>
  <si>
    <t>Phrygian</t>
  </si>
  <si>
    <t>Lydian</t>
  </si>
  <si>
    <t>Mixolydian</t>
  </si>
  <si>
    <t>Aeolian</t>
  </si>
  <si>
    <t>Hypoionian</t>
  </si>
  <si>
    <t>interval sequences</t>
  </si>
  <si>
    <t>Modes</t>
  </si>
  <si>
    <t>scaled</t>
  </si>
  <si>
    <t>zero</t>
  </si>
  <si>
    <t>seq</t>
  </si>
  <si>
    <t>Root</t>
  </si>
  <si>
    <t>Mode</t>
  </si>
  <si>
    <t>e</t>
  </si>
  <si>
    <t>b</t>
  </si>
  <si>
    <t>g</t>
  </si>
  <si>
    <t>a</t>
  </si>
  <si>
    <t>d</t>
  </si>
  <si>
    <t>Scale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</si>
</sst>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0"/>
      <color theme="0"/>
      <name val="Corbe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name val="Corbel"/>
      <family val="2"/>
    </font>
    <font>
      <sz val="12"/>
      <name val="Corbel"/>
      <family val="2"/>
    </font>
    <font>
      <sz val="12"/>
      <color theme="0"/>
      <name val="Corbel"/>
      <family val="2"/>
    </font>
    <font>
      <b/>
      <sz val="12"/>
      <name val="Corbel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gradientFill type="path" left="0.5" right="0.5" top="0.5" bottom="0.5">
        <stop position="0">
          <color theme="5" tint="-0.25098422193060094"/>
        </stop>
        <stop position="1">
          <color theme="5" tint="-0.49803155613879818"/>
        </stop>
      </gradientFill>
    </fill>
    <fill>
      <patternFill patternType="solid">
        <fgColor theme="0"/>
        <bgColor indexed="64"/>
      </patternFill>
    </fill>
    <fill>
      <gradientFill type="path" left="0.5" right="0.5" top="0.5" bottom="0.5">
        <stop position="0">
          <color theme="5" tint="0.80001220740379042"/>
        </stop>
        <stop position="1">
          <color theme="5" tint="0.59999389629810485"/>
        </stop>
      </gradientFill>
    </fill>
  </fills>
  <borders count="5">
    <border>
      <left/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0" fontId="1" fillId="2" borderId="2" applyBorder="0" applyAlignment="0">
      <alignment horizontal="left" vertical="center" indent="1"/>
    </xf>
    <xf numFmtId="0" fontId="1" fillId="3" borderId="2" applyBorder="0" applyAlignment="0">
      <alignment horizontal="center" vertical="center"/>
    </xf>
    <xf numFmtId="0" fontId="1" fillId="3" borderId="3" applyNumberFormat="0" applyBorder="0">
      <alignment horizontal="center"/>
    </xf>
    <xf numFmtId="0" fontId="4" fillId="5" borderId="3" applyNumberFormat="0" applyBorder="0" applyAlignment="0">
      <alignment horizontal="center"/>
    </xf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3" fillId="0" borderId="0" xfId="0" applyFont="1"/>
    <xf numFmtId="164" fontId="0" fillId="0" borderId="0" xfId="0" applyNumberFormat="1"/>
    <xf numFmtId="0" fontId="1" fillId="4" borderId="0" xfId="1" applyFill="1" applyBorder="1" applyAlignment="1">
      <alignment horizontal="center"/>
    </xf>
    <xf numFmtId="0" fontId="1" fillId="3" borderId="3" xfId="3" applyBorder="1">
      <alignment horizontal="center"/>
    </xf>
    <xf numFmtId="0" fontId="1" fillId="3" borderId="4" xfId="3" applyBorder="1">
      <alignment horizontal="center"/>
    </xf>
    <xf numFmtId="0" fontId="4" fillId="5" borderId="3" xfId="4" applyBorder="1" applyAlignment="1">
      <alignment horizontal="center"/>
    </xf>
    <xf numFmtId="0" fontId="4" fillId="5" borderId="1" xfId="4" applyBorder="1" applyAlignment="1">
      <alignment horizontal="center"/>
    </xf>
    <xf numFmtId="0" fontId="4" fillId="5" borderId="4" xfId="4" applyBorder="1" applyAlignment="1">
      <alignment horizontal="center"/>
    </xf>
    <xf numFmtId="0" fontId="4" fillId="5" borderId="0" xfId="4" applyBorder="1" applyAlignment="1">
      <alignment horizontal="center"/>
    </xf>
    <xf numFmtId="0" fontId="1" fillId="3" borderId="0" xfId="3" applyBorder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0" fillId="0" borderId="0" xfId="0" applyFont="1"/>
    <xf numFmtId="0" fontId="5" fillId="5" borderId="1" xfId="4" applyFont="1" applyBorder="1" applyAlignment="1">
      <alignment horizontal="center" vertical="center"/>
    </xf>
    <xf numFmtId="0" fontId="6" fillId="3" borderId="4" xfId="3" applyFont="1" applyBorder="1" applyAlignment="1">
      <alignment horizontal="center" vertical="center"/>
    </xf>
    <xf numFmtId="0" fontId="7" fillId="5" borderId="3" xfId="4" applyFont="1" applyBorder="1" applyAlignment="1">
      <alignment horizontal="center" vertical="center"/>
    </xf>
    <xf numFmtId="0" fontId="6" fillId="3" borderId="3" xfId="3" applyFont="1" applyBorder="1" applyAlignment="1">
      <alignment horizontal="center" vertical="center"/>
    </xf>
    <xf numFmtId="0" fontId="5" fillId="5" borderId="3" xfId="4" applyFont="1" applyBorder="1" applyAlignment="1">
      <alignment horizontal="center" vertical="center"/>
    </xf>
    <xf numFmtId="0" fontId="7" fillId="5" borderId="1" xfId="4" applyFont="1" applyBorder="1" applyAlignment="1">
      <alignment horizontal="center" vertical="center"/>
    </xf>
    <xf numFmtId="0" fontId="5" fillId="5" borderId="4" xfId="4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5" borderId="3" xfId="4" applyBorder="1" applyAlignment="1">
      <alignment horizontal="center" vertical="center"/>
    </xf>
  </cellXfs>
  <cellStyles count="5">
    <cellStyle name="BlackKey" xfId="3"/>
    <cellStyle name="Normal" xfId="0" builtinId="0"/>
    <cellStyle name="Pressed" xfId="2"/>
    <cellStyle name="Unpressed" xfId="1"/>
    <cellStyle name="WhiteKey" xfId="4"/>
  </cellStyles>
  <dxfs count="1">
    <dxf>
      <fill>
        <gradientFill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</dxfs>
  <tableStyles count="0" defaultTableStyle="TableStyleMedium2" defaultPivotStyle="PivotStyleLight16"/>
  <colors>
    <mruColors>
      <color rgb="FFFF9393"/>
      <color rgb="FFFF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20" fmlaLink="raw!$F$2" fmlaRange="raw!$D$2:$D$13" noThreeD="1" val="0"/>
</file>

<file path=xl/ctrlProps/ctrlProp2.xml><?xml version="1.0" encoding="utf-8"?>
<formControlPr xmlns="http://schemas.microsoft.com/office/spreadsheetml/2009/9/main" objectType="List" dx="20" fmlaLink="raw!$K$2" fmlaRange="raw!$J$2:$J$9" noThreeD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</xdr:row>
          <xdr:rowOff>45720</xdr:rowOff>
        </xdr:from>
        <xdr:to>
          <xdr:col>1</xdr:col>
          <xdr:colOff>175260</xdr:colOff>
          <xdr:row>9</xdr:row>
          <xdr:rowOff>129540</xdr:rowOff>
        </xdr:to>
        <xdr:sp macro="" textlink="">
          <xdr:nvSpPr>
            <xdr:cNvPr id="3073" name="List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1</xdr:row>
          <xdr:rowOff>45720</xdr:rowOff>
        </xdr:from>
        <xdr:to>
          <xdr:col>3</xdr:col>
          <xdr:colOff>563880</xdr:colOff>
          <xdr:row>6</xdr:row>
          <xdr:rowOff>160020</xdr:rowOff>
        </xdr:to>
        <xdr:sp macro="" textlink="">
          <xdr:nvSpPr>
            <xdr:cNvPr id="3074" name="modeLis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ontrolPanel"/>
  <dimension ref="A1:C1"/>
  <sheetViews>
    <sheetView workbookViewId="0">
      <selection activeCell="E6" sqref="E6"/>
    </sheetView>
  </sheetViews>
  <sheetFormatPr defaultRowHeight="14.4" x14ac:dyDescent="0.3"/>
  <cols>
    <col min="1" max="3" width="5.77734375" customWidth="1"/>
  </cols>
  <sheetData>
    <row r="1" spans="1:3" x14ac:dyDescent="0.3">
      <c r="A1" t="s">
        <v>63</v>
      </c>
      <c r="C1" t="s">
        <v>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ist Box 1">
              <controlPr defaultSize="0" autoLine="0" autoPict="0">
                <anchor moveWithCells="1">
                  <from>
                    <xdr:col>0</xdr:col>
                    <xdr:colOff>45720</xdr:colOff>
                    <xdr:row>1</xdr:row>
                    <xdr:rowOff>45720</xdr:rowOff>
                  </from>
                  <to>
                    <xdr:col>1</xdr:col>
                    <xdr:colOff>175260</xdr:colOff>
                    <xdr:row>9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deList">
              <controlPr defaultSize="0" autoLine="0" autoPict="0">
                <anchor moveWithCells="1">
                  <from>
                    <xdr:col>2</xdr:col>
                    <xdr:colOff>45720</xdr:colOff>
                    <xdr:row>1</xdr:row>
                    <xdr:rowOff>45720</xdr:rowOff>
                  </from>
                  <to>
                    <xdr:col>3</xdr:col>
                    <xdr:colOff>563880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Sheet"/>
  <dimension ref="A1:U25"/>
  <sheetViews>
    <sheetView topLeftCell="B1" workbookViewId="0">
      <selection activeCell="F2" sqref="F2"/>
    </sheetView>
  </sheetViews>
  <sheetFormatPr defaultRowHeight="14.4" x14ac:dyDescent="0.3"/>
  <cols>
    <col min="1" max="1" width="4.33203125" customWidth="1"/>
    <col min="2" max="2" width="3" bestFit="1" customWidth="1"/>
    <col min="3" max="3" width="8.77734375" customWidth="1"/>
    <col min="4" max="4" width="5.5546875" bestFit="1" customWidth="1"/>
    <col min="5" max="5" width="5.5546875" customWidth="1"/>
    <col min="6" max="6" width="4.5546875" bestFit="1" customWidth="1"/>
    <col min="7" max="7" width="4.5546875" customWidth="1"/>
    <col min="8" max="8" width="10.21875" bestFit="1" customWidth="1"/>
    <col min="9" max="9" width="4.5546875" customWidth="1"/>
    <col min="10" max="10" width="3.77734375" bestFit="1" customWidth="1"/>
    <col min="11" max="11" width="5.6640625" bestFit="1" customWidth="1"/>
    <col min="12" max="19" width="4.77734375" customWidth="1"/>
  </cols>
  <sheetData>
    <row r="1" spans="1:21" x14ac:dyDescent="0.3">
      <c r="A1" s="17" t="s">
        <v>25</v>
      </c>
      <c r="B1" s="17"/>
      <c r="C1" s="17"/>
      <c r="D1" t="s">
        <v>40</v>
      </c>
      <c r="F1" t="s">
        <v>41</v>
      </c>
      <c r="G1" t="s">
        <v>60</v>
      </c>
      <c r="H1" s="18" t="s">
        <v>59</v>
      </c>
      <c r="I1" s="18"/>
      <c r="J1" s="18"/>
      <c r="K1" t="s">
        <v>50</v>
      </c>
      <c r="L1" s="18" t="s">
        <v>58</v>
      </c>
      <c r="M1" s="18"/>
      <c r="N1" s="18"/>
      <c r="O1" s="18"/>
      <c r="P1" s="18"/>
      <c r="Q1" s="18"/>
      <c r="R1" s="18"/>
      <c r="S1" s="18"/>
      <c r="T1" t="s">
        <v>62</v>
      </c>
    </row>
    <row r="2" spans="1:21" x14ac:dyDescent="0.3">
      <c r="A2" s="1">
        <v>1</v>
      </c>
      <c r="B2" s="3">
        <v>0</v>
      </c>
      <c r="C2" s="3" t="s">
        <v>61</v>
      </c>
      <c r="D2" s="4" t="s">
        <v>4</v>
      </c>
      <c r="E2" s="3" t="s">
        <v>4</v>
      </c>
      <c r="F2">
        <v>1</v>
      </c>
      <c r="H2" t="s">
        <v>51</v>
      </c>
      <c r="I2">
        <v>1</v>
      </c>
      <c r="J2" s="1" t="s">
        <v>27</v>
      </c>
      <c r="K2">
        <v>1</v>
      </c>
      <c r="L2">
        <f t="shared" ref="L2:S2" si="0">IF(VLOOKUP(current_mode,$I$2:$J$9,2)=L3,1,"")</f>
        <v>1</v>
      </c>
      <c r="M2" t="str">
        <f t="shared" si="0"/>
        <v/>
      </c>
      <c r="N2" t="str">
        <f t="shared" si="0"/>
        <v/>
      </c>
      <c r="O2" t="str">
        <f t="shared" si="0"/>
        <v/>
      </c>
      <c r="P2" t="str">
        <f t="shared" si="0"/>
        <v/>
      </c>
      <c r="Q2" t="str">
        <f t="shared" si="0"/>
        <v/>
      </c>
      <c r="R2" t="str">
        <f t="shared" si="0"/>
        <v/>
      </c>
      <c r="S2" t="str">
        <f t="shared" si="0"/>
        <v/>
      </c>
    </row>
    <row r="3" spans="1:21" x14ac:dyDescent="0.3">
      <c r="A3" s="1">
        <v>2</v>
      </c>
      <c r="B3" s="1">
        <v>1</v>
      </c>
      <c r="C3" s="1" t="s">
        <v>28</v>
      </c>
      <c r="D3" s="4" t="s">
        <v>8</v>
      </c>
      <c r="E3" s="3" t="s">
        <v>8</v>
      </c>
      <c r="H3" t="s">
        <v>52</v>
      </c>
      <c r="I3">
        <v>2</v>
      </c>
      <c r="J3" s="1" t="s">
        <v>43</v>
      </c>
      <c r="L3" s="1" t="s">
        <v>27</v>
      </c>
      <c r="M3" s="1" t="s">
        <v>43</v>
      </c>
      <c r="N3" s="1" t="s">
        <v>44</v>
      </c>
      <c r="O3" s="1" t="s">
        <v>45</v>
      </c>
      <c r="P3" s="1" t="s">
        <v>46</v>
      </c>
      <c r="Q3" s="1" t="s">
        <v>47</v>
      </c>
      <c r="R3" s="1" t="s">
        <v>48</v>
      </c>
      <c r="S3" s="1" t="s">
        <v>49</v>
      </c>
      <c r="T3">
        <f>HLOOKUP(1,$L$2:$S$11,3,TRUE)</f>
        <v>0</v>
      </c>
      <c r="U3" t="str">
        <f ca="1">OFFSET($E$1,$F$2+T3,0)</f>
        <v>A</v>
      </c>
    </row>
    <row r="4" spans="1:21" x14ac:dyDescent="0.3">
      <c r="A4" s="1">
        <v>3</v>
      </c>
      <c r="B4" s="1">
        <v>2</v>
      </c>
      <c r="C4" s="1" t="s">
        <v>29</v>
      </c>
      <c r="D4" s="4" t="s">
        <v>1</v>
      </c>
      <c r="E4" s="3" t="s">
        <v>1</v>
      </c>
      <c r="H4" t="s">
        <v>53</v>
      </c>
      <c r="I4">
        <v>3</v>
      </c>
      <c r="J4" s="1" t="s">
        <v>44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f>HLOOKUP(1,$L$2:$S$11,4,TRUE)</f>
        <v>2</v>
      </c>
      <c r="U4" t="str">
        <f ca="1">OFFSET($E$1,$F$2+T4,0)</f>
        <v>B</v>
      </c>
    </row>
    <row r="5" spans="1:21" x14ac:dyDescent="0.3">
      <c r="A5" s="1">
        <v>4</v>
      </c>
      <c r="B5" s="1">
        <v>3</v>
      </c>
      <c r="C5" s="1" t="s">
        <v>30</v>
      </c>
      <c r="D5" s="4" t="s">
        <v>9</v>
      </c>
      <c r="E5" s="3" t="s">
        <v>9</v>
      </c>
      <c r="H5" t="s">
        <v>54</v>
      </c>
      <c r="I5">
        <v>4</v>
      </c>
      <c r="J5" s="1" t="s">
        <v>45</v>
      </c>
      <c r="L5">
        <v>2</v>
      </c>
      <c r="M5">
        <v>2</v>
      </c>
      <c r="N5">
        <v>1</v>
      </c>
      <c r="O5">
        <v>2</v>
      </c>
      <c r="P5">
        <v>2</v>
      </c>
      <c r="Q5">
        <v>2</v>
      </c>
      <c r="R5">
        <v>1</v>
      </c>
      <c r="S5">
        <v>2</v>
      </c>
      <c r="T5">
        <f>HLOOKUP(1,$L$2:$S$11,5,TRUE)</f>
        <v>4</v>
      </c>
      <c r="U5" t="str">
        <f t="shared" ref="U5:U10" ca="1" si="1">OFFSET($E$1,$F$2+T5,0)</f>
        <v>C#</v>
      </c>
    </row>
    <row r="6" spans="1:21" x14ac:dyDescent="0.3">
      <c r="A6" s="1">
        <v>5</v>
      </c>
      <c r="B6" s="1">
        <v>4</v>
      </c>
      <c r="C6" s="1" t="s">
        <v>31</v>
      </c>
      <c r="D6" s="4" t="s">
        <v>10</v>
      </c>
      <c r="E6" s="3" t="s">
        <v>10</v>
      </c>
      <c r="H6" t="s">
        <v>55</v>
      </c>
      <c r="I6">
        <v>5</v>
      </c>
      <c r="J6" s="1" t="s">
        <v>46</v>
      </c>
      <c r="L6">
        <v>4</v>
      </c>
      <c r="M6">
        <v>3</v>
      </c>
      <c r="N6">
        <v>3</v>
      </c>
      <c r="O6">
        <v>4</v>
      </c>
      <c r="P6">
        <v>4</v>
      </c>
      <c r="Q6">
        <v>3</v>
      </c>
      <c r="R6">
        <v>3</v>
      </c>
      <c r="S6">
        <v>4</v>
      </c>
      <c r="T6">
        <f>HLOOKUP(1,$L$2:$S$11,6,TRUE)</f>
        <v>5</v>
      </c>
      <c r="U6" t="str">
        <f t="shared" ca="1" si="1"/>
        <v>D</v>
      </c>
    </row>
    <row r="7" spans="1:21" x14ac:dyDescent="0.3">
      <c r="A7" s="1">
        <v>6</v>
      </c>
      <c r="B7" s="1">
        <v>5</v>
      </c>
      <c r="C7" s="1" t="s">
        <v>32</v>
      </c>
      <c r="D7" s="4" t="s">
        <v>3</v>
      </c>
      <c r="E7" s="3" t="s">
        <v>3</v>
      </c>
      <c r="H7" t="s">
        <v>56</v>
      </c>
      <c r="I7">
        <v>6</v>
      </c>
      <c r="J7" s="1" t="s">
        <v>47</v>
      </c>
      <c r="L7">
        <v>5</v>
      </c>
      <c r="M7">
        <v>5</v>
      </c>
      <c r="N7">
        <v>5</v>
      </c>
      <c r="O7">
        <v>6</v>
      </c>
      <c r="P7">
        <v>5</v>
      </c>
      <c r="Q7">
        <v>5</v>
      </c>
      <c r="R7">
        <v>5</v>
      </c>
      <c r="S7">
        <v>5</v>
      </c>
      <c r="T7">
        <f>HLOOKUP(1,$L$2:$S$11,7,TRUE)</f>
        <v>7</v>
      </c>
      <c r="U7" t="str">
        <f t="shared" ca="1" si="1"/>
        <v>E</v>
      </c>
    </row>
    <row r="8" spans="1:21" x14ac:dyDescent="0.3">
      <c r="A8" s="1">
        <v>7</v>
      </c>
      <c r="B8" s="1">
        <v>6</v>
      </c>
      <c r="C8" s="1" t="s">
        <v>33</v>
      </c>
      <c r="D8" s="4" t="s">
        <v>11</v>
      </c>
      <c r="E8" s="3" t="s">
        <v>11</v>
      </c>
      <c r="H8" t="s">
        <v>42</v>
      </c>
      <c r="I8">
        <v>7</v>
      </c>
      <c r="J8" s="1" t="s">
        <v>48</v>
      </c>
      <c r="L8">
        <v>7</v>
      </c>
      <c r="M8">
        <v>7</v>
      </c>
      <c r="N8">
        <v>7</v>
      </c>
      <c r="O8">
        <v>7</v>
      </c>
      <c r="P8">
        <v>7</v>
      </c>
      <c r="Q8">
        <v>7</v>
      </c>
      <c r="R8">
        <v>6</v>
      </c>
      <c r="S8">
        <v>7</v>
      </c>
      <c r="T8">
        <f>HLOOKUP(1,$L$2:$S$11,8,TRUE)</f>
        <v>9</v>
      </c>
      <c r="U8" t="str">
        <f t="shared" ca="1" si="1"/>
        <v>F#</v>
      </c>
    </row>
    <row r="9" spans="1:21" x14ac:dyDescent="0.3">
      <c r="A9" s="1">
        <v>8</v>
      </c>
      <c r="B9" s="1">
        <v>7</v>
      </c>
      <c r="C9" s="1" t="s">
        <v>34</v>
      </c>
      <c r="D9" s="4" t="s">
        <v>0</v>
      </c>
      <c r="E9" s="3" t="s">
        <v>0</v>
      </c>
      <c r="H9" t="s">
        <v>57</v>
      </c>
      <c r="I9">
        <v>8</v>
      </c>
      <c r="J9" s="1" t="s">
        <v>49</v>
      </c>
      <c r="L9">
        <v>9</v>
      </c>
      <c r="M9">
        <v>9</v>
      </c>
      <c r="N9">
        <v>8</v>
      </c>
      <c r="O9">
        <v>9</v>
      </c>
      <c r="P9">
        <v>9</v>
      </c>
      <c r="Q9">
        <v>8</v>
      </c>
      <c r="R9">
        <v>8</v>
      </c>
      <c r="S9">
        <v>9</v>
      </c>
      <c r="T9">
        <f>HLOOKUP(1,$L$2:$S$11,9,TRUE)</f>
        <v>11</v>
      </c>
      <c r="U9" t="str">
        <f t="shared" ca="1" si="1"/>
        <v>G#</v>
      </c>
    </row>
    <row r="10" spans="1:21" x14ac:dyDescent="0.3">
      <c r="A10" s="1">
        <v>9</v>
      </c>
      <c r="B10" s="1">
        <v>8</v>
      </c>
      <c r="C10" s="1" t="s">
        <v>35</v>
      </c>
      <c r="D10" s="4" t="s">
        <v>5</v>
      </c>
      <c r="E10" s="3" t="s">
        <v>5</v>
      </c>
      <c r="L10">
        <v>11</v>
      </c>
      <c r="M10">
        <v>10</v>
      </c>
      <c r="N10">
        <v>10</v>
      </c>
      <c r="O10">
        <v>11</v>
      </c>
      <c r="P10">
        <v>10</v>
      </c>
      <c r="Q10">
        <v>10</v>
      </c>
      <c r="R10">
        <v>10</v>
      </c>
      <c r="S10">
        <v>11</v>
      </c>
      <c r="T10">
        <f>HLOOKUP(1,$L$2:$S$11,10,TRUE)</f>
        <v>12</v>
      </c>
      <c r="U10" t="str">
        <f t="shared" ca="1" si="1"/>
        <v>A</v>
      </c>
    </row>
    <row r="11" spans="1:21" x14ac:dyDescent="0.3">
      <c r="A11" s="1">
        <v>10</v>
      </c>
      <c r="B11" s="1">
        <v>9</v>
      </c>
      <c r="C11" s="1" t="s">
        <v>36</v>
      </c>
      <c r="D11" s="4" t="s">
        <v>6</v>
      </c>
      <c r="E11" s="3" t="s">
        <v>6</v>
      </c>
      <c r="L11">
        <f>L10+1</f>
        <v>12</v>
      </c>
      <c r="M11">
        <v>12</v>
      </c>
      <c r="N11">
        <v>12</v>
      </c>
      <c r="O11">
        <v>12</v>
      </c>
      <c r="P11">
        <v>12</v>
      </c>
      <c r="Q11">
        <v>12</v>
      </c>
      <c r="R11">
        <v>12</v>
      </c>
      <c r="S11">
        <v>12</v>
      </c>
    </row>
    <row r="12" spans="1:21" x14ac:dyDescent="0.3">
      <c r="A12" s="1">
        <v>11</v>
      </c>
      <c r="B12" s="1" t="s">
        <v>26</v>
      </c>
      <c r="C12" s="1" t="s">
        <v>37</v>
      </c>
      <c r="D12" s="4" t="s">
        <v>2</v>
      </c>
      <c r="E12" s="3" t="s">
        <v>2</v>
      </c>
    </row>
    <row r="13" spans="1:21" x14ac:dyDescent="0.3">
      <c r="A13" s="1">
        <v>12</v>
      </c>
      <c r="B13" s="1" t="s">
        <v>0</v>
      </c>
      <c r="C13" s="1" t="s">
        <v>38</v>
      </c>
      <c r="D13" s="4" t="s">
        <v>7</v>
      </c>
      <c r="E13" s="3" t="s">
        <v>7</v>
      </c>
      <c r="J13" s="2" t="s">
        <v>19</v>
      </c>
      <c r="K13" s="5">
        <v>0</v>
      </c>
      <c r="M13" s="4"/>
    </row>
    <row r="14" spans="1:21" x14ac:dyDescent="0.3">
      <c r="B14" s="1">
        <v>10</v>
      </c>
      <c r="C14" s="1" t="s">
        <v>39</v>
      </c>
      <c r="E14" s="4" t="str">
        <f>E2</f>
        <v>A</v>
      </c>
      <c r="J14" t="s">
        <v>12</v>
      </c>
      <c r="K14" s="5">
        <v>1</v>
      </c>
      <c r="M14" s="4"/>
    </row>
    <row r="15" spans="1:21" x14ac:dyDescent="0.3">
      <c r="E15" s="4" t="str">
        <f t="shared" ref="E15:E23" si="2">E3</f>
        <v>A#</v>
      </c>
      <c r="J15" t="s">
        <v>17</v>
      </c>
      <c r="K15" s="5">
        <v>2</v>
      </c>
      <c r="M15" s="4"/>
    </row>
    <row r="16" spans="1:21" x14ac:dyDescent="0.3">
      <c r="E16" s="4" t="str">
        <f t="shared" si="2"/>
        <v>B</v>
      </c>
      <c r="J16" t="s">
        <v>13</v>
      </c>
      <c r="K16" s="5">
        <v>3</v>
      </c>
      <c r="M16" s="4"/>
    </row>
    <row r="17" spans="5:13" x14ac:dyDescent="0.3">
      <c r="E17" s="4" t="str">
        <f t="shared" si="2"/>
        <v>C</v>
      </c>
      <c r="J17" t="s">
        <v>20</v>
      </c>
      <c r="K17" s="5">
        <v>4</v>
      </c>
      <c r="M17" s="4"/>
    </row>
    <row r="18" spans="5:13" x14ac:dyDescent="0.3">
      <c r="E18" s="4" t="str">
        <f t="shared" si="2"/>
        <v>C#</v>
      </c>
      <c r="J18" t="s">
        <v>21</v>
      </c>
      <c r="K18" s="5">
        <v>5</v>
      </c>
      <c r="M18" s="4"/>
    </row>
    <row r="19" spans="5:13" x14ac:dyDescent="0.3">
      <c r="E19" s="4" t="str">
        <f t="shared" si="2"/>
        <v>D</v>
      </c>
      <c r="J19" t="s">
        <v>14</v>
      </c>
      <c r="K19" s="5">
        <v>6</v>
      </c>
      <c r="M19" s="4"/>
    </row>
    <row r="20" spans="5:13" x14ac:dyDescent="0.3">
      <c r="E20" s="4" t="str">
        <f t="shared" si="2"/>
        <v>D#</v>
      </c>
      <c r="J20" t="s">
        <v>22</v>
      </c>
      <c r="K20" s="5">
        <v>7</v>
      </c>
      <c r="M20" s="4"/>
    </row>
    <row r="21" spans="5:13" x14ac:dyDescent="0.3">
      <c r="E21" s="4" t="str">
        <f t="shared" si="2"/>
        <v>E</v>
      </c>
      <c r="J21" t="s">
        <v>15</v>
      </c>
      <c r="K21" s="5">
        <v>8</v>
      </c>
      <c r="M21" s="4"/>
    </row>
    <row r="22" spans="5:13" x14ac:dyDescent="0.3">
      <c r="E22" s="4" t="str">
        <f t="shared" si="2"/>
        <v>F</v>
      </c>
      <c r="J22" t="s">
        <v>23</v>
      </c>
      <c r="K22" s="5">
        <v>9</v>
      </c>
      <c r="M22" s="4"/>
    </row>
    <row r="23" spans="5:13" x14ac:dyDescent="0.3">
      <c r="E23" s="4" t="str">
        <f t="shared" si="2"/>
        <v>F#</v>
      </c>
      <c r="J23" t="s">
        <v>16</v>
      </c>
      <c r="K23" s="5">
        <v>10</v>
      </c>
      <c r="M23" s="4"/>
    </row>
    <row r="24" spans="5:13" x14ac:dyDescent="0.3">
      <c r="E24" s="4" t="str">
        <f>E12</f>
        <v>G</v>
      </c>
      <c r="J24" t="s">
        <v>24</v>
      </c>
      <c r="K24" s="5">
        <v>11</v>
      </c>
      <c r="M24" s="4"/>
    </row>
    <row r="25" spans="5:13" x14ac:dyDescent="0.3">
      <c r="E25" s="4" t="str">
        <f>E13</f>
        <v>G#</v>
      </c>
      <c r="J25" t="s">
        <v>18</v>
      </c>
      <c r="K25" s="5">
        <v>12</v>
      </c>
      <c r="M25" s="4"/>
    </row>
  </sheetData>
  <mergeCells count="3">
    <mergeCell ref="A1:C1"/>
    <mergeCell ref="H1:J1"/>
    <mergeCell ref="L1:S1"/>
  </mergeCells>
  <conditionalFormatting sqref="O7">
    <cfRule type="expression" dxfId="0" priority="2">
      <formula>ABS(O7-N7)-ABS(O7-P7)</formula>
    </cfRule>
  </conditionalFormatting>
  <conditionalFormatting sqref="L4:S1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oardSheet"/>
  <dimension ref="A1:U51"/>
  <sheetViews>
    <sheetView tabSelected="1" topLeftCell="A23" workbookViewId="0">
      <selection activeCell="F49" sqref="F49"/>
    </sheetView>
  </sheetViews>
  <sheetFormatPr defaultRowHeight="14.4" x14ac:dyDescent="0.3"/>
  <cols>
    <col min="1" max="2" width="3.77734375" customWidth="1"/>
    <col min="3" max="3" width="5.6640625" customWidth="1"/>
    <col min="4" max="4" width="5.5546875" customWidth="1"/>
    <col min="5" max="5" width="5.44140625" customWidth="1"/>
    <col min="6" max="7" width="5.33203125" customWidth="1"/>
    <col min="8" max="8" width="5.21875" customWidth="1"/>
    <col min="9" max="9" width="5.109375" customWidth="1"/>
    <col min="10" max="10" width="5" customWidth="1"/>
    <col min="11" max="11" width="4.88671875" customWidth="1"/>
    <col min="12" max="12" width="4.77734375" customWidth="1"/>
    <col min="13" max="13" width="4.6640625" customWidth="1"/>
    <col min="14" max="14" width="4.5546875" customWidth="1"/>
    <col min="15" max="15" width="4.44140625" customWidth="1"/>
    <col min="16" max="17" width="4.33203125" customWidth="1"/>
    <col min="18" max="18" width="4.21875" customWidth="1"/>
    <col min="19" max="19" width="4.109375" customWidth="1"/>
    <col min="20" max="20" width="4" customWidth="1"/>
    <col min="21" max="21" width="3.88671875" customWidth="1"/>
  </cols>
  <sheetData>
    <row r="1" spans="1:20" x14ac:dyDescent="0.3">
      <c r="A1" s="13" t="s">
        <v>0</v>
      </c>
      <c r="B1" s="14" t="s">
        <v>5</v>
      </c>
      <c r="C1" s="10" t="s">
        <v>67</v>
      </c>
      <c r="D1" s="12" t="s">
        <v>2</v>
      </c>
      <c r="E1" s="10" t="s">
        <v>68</v>
      </c>
      <c r="F1" s="12" t="s">
        <v>4</v>
      </c>
      <c r="G1" s="10" t="s">
        <v>66</v>
      </c>
      <c r="H1" s="12" t="s">
        <v>1</v>
      </c>
      <c r="I1" s="12" t="s">
        <v>9</v>
      </c>
      <c r="J1" s="10" t="s">
        <v>69</v>
      </c>
      <c r="K1" s="12" t="s">
        <v>3</v>
      </c>
      <c r="L1" s="10" t="s">
        <v>65</v>
      </c>
      <c r="M1" s="12" t="s">
        <v>0</v>
      </c>
      <c r="N1" s="12" t="s">
        <v>5</v>
      </c>
      <c r="O1" s="10" t="s">
        <v>67</v>
      </c>
      <c r="P1" s="12" t="s">
        <v>2</v>
      </c>
      <c r="Q1" s="10" t="s">
        <v>68</v>
      </c>
      <c r="R1" s="12" t="s">
        <v>4</v>
      </c>
      <c r="S1" s="10" t="s">
        <v>66</v>
      </c>
      <c r="T1" s="12" t="s">
        <v>1</v>
      </c>
    </row>
    <row r="2" spans="1:20" x14ac:dyDescent="0.3">
      <c r="A2" s="13" t="s">
        <v>1</v>
      </c>
      <c r="B2" s="14" t="s">
        <v>9</v>
      </c>
      <c r="C2" s="10" t="s">
        <v>69</v>
      </c>
      <c r="D2" s="12" t="s">
        <v>3</v>
      </c>
      <c r="E2" s="10" t="s">
        <v>65</v>
      </c>
      <c r="F2" s="12" t="s">
        <v>0</v>
      </c>
      <c r="G2" s="12" t="s">
        <v>5</v>
      </c>
      <c r="H2" s="10" t="s">
        <v>67</v>
      </c>
      <c r="I2" s="12" t="s">
        <v>2</v>
      </c>
      <c r="J2" s="10" t="s">
        <v>68</v>
      </c>
      <c r="K2" s="12" t="s">
        <v>4</v>
      </c>
      <c r="L2" s="10" t="s">
        <v>66</v>
      </c>
      <c r="M2" s="12" t="s">
        <v>1</v>
      </c>
      <c r="N2" s="12" t="s">
        <v>9</v>
      </c>
      <c r="O2" s="10" t="s">
        <v>69</v>
      </c>
      <c r="P2" s="12" t="s">
        <v>3</v>
      </c>
      <c r="Q2" s="10" t="s">
        <v>65</v>
      </c>
      <c r="R2" s="12" t="s">
        <v>0</v>
      </c>
      <c r="S2" s="12" t="s">
        <v>5</v>
      </c>
      <c r="T2" s="10" t="s">
        <v>67</v>
      </c>
    </row>
    <row r="3" spans="1:20" x14ac:dyDescent="0.3">
      <c r="A3" s="9"/>
      <c r="B3" s="13" t="s">
        <v>2</v>
      </c>
      <c r="C3" s="11" t="s">
        <v>68</v>
      </c>
      <c r="D3" s="12" t="s">
        <v>4</v>
      </c>
      <c r="E3" s="10" t="s">
        <v>66</v>
      </c>
      <c r="F3" s="12" t="s">
        <v>1</v>
      </c>
      <c r="G3" s="12" t="s">
        <v>9</v>
      </c>
      <c r="H3" s="10" t="s">
        <v>69</v>
      </c>
      <c r="I3" s="12" t="s">
        <v>3</v>
      </c>
      <c r="J3" s="10" t="s">
        <v>65</v>
      </c>
      <c r="K3" s="12" t="s">
        <v>0</v>
      </c>
      <c r="L3" s="12" t="s">
        <v>5</v>
      </c>
      <c r="M3" s="10" t="s">
        <v>67</v>
      </c>
      <c r="N3" s="12" t="s">
        <v>2</v>
      </c>
      <c r="O3" s="10" t="s">
        <v>68</v>
      </c>
      <c r="P3" s="12" t="s">
        <v>4</v>
      </c>
      <c r="Q3" s="10" t="s">
        <v>66</v>
      </c>
      <c r="R3" s="12" t="s">
        <v>1</v>
      </c>
      <c r="S3" s="12" t="s">
        <v>9</v>
      </c>
      <c r="T3" s="10" t="s">
        <v>69</v>
      </c>
    </row>
    <row r="4" spans="1:20" x14ac:dyDescent="0.3">
      <c r="A4" s="9"/>
      <c r="B4" s="13" t="s">
        <v>3</v>
      </c>
      <c r="C4" s="11" t="s">
        <v>65</v>
      </c>
      <c r="D4" s="12" t="s">
        <v>0</v>
      </c>
      <c r="E4" s="12" t="s">
        <v>5</v>
      </c>
      <c r="F4" s="10" t="s">
        <v>67</v>
      </c>
      <c r="G4" s="12" t="s">
        <v>2</v>
      </c>
      <c r="H4" s="10" t="s">
        <v>68</v>
      </c>
      <c r="I4" s="12" t="s">
        <v>4</v>
      </c>
      <c r="J4" s="10" t="s">
        <v>66</v>
      </c>
      <c r="K4" s="12" t="s">
        <v>1</v>
      </c>
      <c r="L4" s="12" t="s">
        <v>9</v>
      </c>
      <c r="M4" s="10" t="s">
        <v>69</v>
      </c>
      <c r="N4" s="12" t="s">
        <v>3</v>
      </c>
      <c r="O4" s="10" t="s">
        <v>65</v>
      </c>
      <c r="P4" s="12" t="s">
        <v>0</v>
      </c>
      <c r="Q4" s="12" t="s">
        <v>5</v>
      </c>
      <c r="R4" s="10" t="s">
        <v>67</v>
      </c>
      <c r="S4" s="12" t="s">
        <v>2</v>
      </c>
      <c r="T4" s="10" t="s">
        <v>68</v>
      </c>
    </row>
    <row r="5" spans="1:20" x14ac:dyDescent="0.3">
      <c r="A5" s="9"/>
      <c r="B5" s="13" t="s">
        <v>4</v>
      </c>
      <c r="C5" s="11" t="s">
        <v>66</v>
      </c>
      <c r="D5" s="12" t="s">
        <v>1</v>
      </c>
      <c r="E5" s="12" t="s">
        <v>9</v>
      </c>
      <c r="F5" s="10" t="s">
        <v>69</v>
      </c>
      <c r="G5" s="12" t="s">
        <v>3</v>
      </c>
      <c r="H5" s="10" t="s">
        <v>65</v>
      </c>
      <c r="I5" s="12" t="s">
        <v>0</v>
      </c>
      <c r="J5" s="12" t="s">
        <v>5</v>
      </c>
      <c r="K5" s="10" t="s">
        <v>67</v>
      </c>
      <c r="L5" s="12" t="s">
        <v>2</v>
      </c>
      <c r="M5" s="10" t="s">
        <v>68</v>
      </c>
      <c r="N5" s="12" t="s">
        <v>4</v>
      </c>
      <c r="O5" s="10" t="s">
        <v>66</v>
      </c>
      <c r="P5" s="12" t="s">
        <v>1</v>
      </c>
      <c r="Q5" s="12" t="s">
        <v>9</v>
      </c>
      <c r="R5" s="10" t="s">
        <v>69</v>
      </c>
      <c r="S5" s="12" t="s">
        <v>3</v>
      </c>
      <c r="T5" s="10" t="s">
        <v>65</v>
      </c>
    </row>
    <row r="6" spans="1:20" x14ac:dyDescent="0.3">
      <c r="A6" s="9"/>
      <c r="B6" s="13" t="s">
        <v>0</v>
      </c>
      <c r="C6" s="14" t="s">
        <v>5</v>
      </c>
      <c r="D6" s="10" t="s">
        <v>67</v>
      </c>
      <c r="E6" s="12" t="s">
        <v>2</v>
      </c>
      <c r="F6" s="10" t="s">
        <v>68</v>
      </c>
      <c r="G6" s="12" t="s">
        <v>4</v>
      </c>
      <c r="H6" s="10" t="s">
        <v>66</v>
      </c>
      <c r="I6" s="12" t="s">
        <v>1</v>
      </c>
      <c r="J6" s="12" t="s">
        <v>9</v>
      </c>
      <c r="K6" s="10" t="s">
        <v>69</v>
      </c>
      <c r="L6" s="12" t="s">
        <v>3</v>
      </c>
      <c r="M6" s="10" t="s">
        <v>65</v>
      </c>
      <c r="N6" s="12" t="s">
        <v>0</v>
      </c>
      <c r="O6" s="12" t="s">
        <v>5</v>
      </c>
      <c r="P6" s="10" t="s">
        <v>67</v>
      </c>
      <c r="Q6" s="12" t="s">
        <v>2</v>
      </c>
      <c r="R6" s="10" t="s">
        <v>68</v>
      </c>
      <c r="S6" s="12" t="s">
        <v>4</v>
      </c>
      <c r="T6" s="10" t="s">
        <v>66</v>
      </c>
    </row>
    <row r="7" spans="1:20" x14ac:dyDescent="0.3">
      <c r="A7" s="9"/>
      <c r="B7" s="15"/>
      <c r="C7" s="15"/>
      <c r="D7" s="16"/>
      <c r="E7" s="15"/>
      <c r="F7" s="16"/>
      <c r="G7" s="15"/>
      <c r="H7" s="16"/>
      <c r="I7" s="15"/>
      <c r="J7" s="15"/>
      <c r="K7" s="16"/>
      <c r="L7" s="15"/>
      <c r="M7" s="16"/>
      <c r="N7" s="15"/>
      <c r="O7" s="15"/>
      <c r="P7" s="16"/>
      <c r="Q7" s="15"/>
      <c r="R7" s="16"/>
      <c r="S7" s="15"/>
      <c r="T7" s="16"/>
    </row>
    <row r="9" spans="1:20" x14ac:dyDescent="0.3">
      <c r="A9" s="13" t="s">
        <v>0</v>
      </c>
      <c r="B9" s="14" t="s">
        <v>5</v>
      </c>
      <c r="C9" s="10" t="s">
        <v>67</v>
      </c>
      <c r="D9" s="12" t="s">
        <v>2</v>
      </c>
      <c r="E9" s="10" t="s">
        <v>68</v>
      </c>
      <c r="F9" s="12" t="s">
        <v>4</v>
      </c>
      <c r="G9" s="10" t="s">
        <v>66</v>
      </c>
      <c r="H9" s="12" t="s">
        <v>1</v>
      </c>
      <c r="I9" s="12" t="s">
        <v>9</v>
      </c>
      <c r="J9" s="10" t="s">
        <v>69</v>
      </c>
      <c r="K9" s="12" t="s">
        <v>3</v>
      </c>
      <c r="L9" s="10" t="s">
        <v>65</v>
      </c>
      <c r="M9" s="12" t="s">
        <v>0</v>
      </c>
      <c r="N9" s="12" t="s">
        <v>5</v>
      </c>
      <c r="O9" s="10" t="s">
        <v>67</v>
      </c>
      <c r="P9" s="12" t="s">
        <v>2</v>
      </c>
      <c r="Q9" s="10" t="s">
        <v>68</v>
      </c>
      <c r="R9" s="12" t="s">
        <v>4</v>
      </c>
      <c r="S9" s="10" t="s">
        <v>66</v>
      </c>
      <c r="T9" s="12" t="s">
        <v>1</v>
      </c>
    </row>
    <row r="10" spans="1:20" x14ac:dyDescent="0.3">
      <c r="A10" s="13" t="s">
        <v>1</v>
      </c>
      <c r="B10" s="14" t="s">
        <v>9</v>
      </c>
      <c r="C10" s="10" t="s">
        <v>69</v>
      </c>
      <c r="D10" s="12" t="s">
        <v>3</v>
      </c>
      <c r="E10" s="10" t="s">
        <v>65</v>
      </c>
      <c r="F10" s="12" t="s">
        <v>0</v>
      </c>
      <c r="G10" s="12" t="s">
        <v>5</v>
      </c>
      <c r="H10" s="10" t="s">
        <v>67</v>
      </c>
      <c r="I10" s="12" t="s">
        <v>2</v>
      </c>
      <c r="J10" s="10" t="s">
        <v>68</v>
      </c>
      <c r="K10" s="12" t="s">
        <v>4</v>
      </c>
      <c r="L10" s="10" t="s">
        <v>66</v>
      </c>
      <c r="M10" s="12" t="s">
        <v>1</v>
      </c>
      <c r="N10" s="12" t="s">
        <v>9</v>
      </c>
      <c r="O10" s="10" t="s">
        <v>69</v>
      </c>
      <c r="P10" s="12" t="s">
        <v>3</v>
      </c>
      <c r="Q10" s="10" t="s">
        <v>65</v>
      </c>
      <c r="R10" s="12" t="s">
        <v>0</v>
      </c>
      <c r="S10" s="12" t="s">
        <v>5</v>
      </c>
      <c r="T10" s="10" t="s">
        <v>67</v>
      </c>
    </row>
    <row r="11" spans="1:20" x14ac:dyDescent="0.3">
      <c r="A11" s="13" t="s">
        <v>2</v>
      </c>
      <c r="B11" s="11" t="s">
        <v>68</v>
      </c>
      <c r="C11" s="12" t="s">
        <v>4</v>
      </c>
      <c r="D11" s="10" t="s">
        <v>66</v>
      </c>
      <c r="E11" s="12" t="s">
        <v>1</v>
      </c>
      <c r="F11" s="12" t="s">
        <v>9</v>
      </c>
      <c r="G11" s="10" t="s">
        <v>69</v>
      </c>
      <c r="H11" s="12" t="s">
        <v>3</v>
      </c>
      <c r="I11" s="10" t="s">
        <v>65</v>
      </c>
      <c r="J11" s="12" t="s">
        <v>0</v>
      </c>
      <c r="K11" s="12" t="s">
        <v>5</v>
      </c>
      <c r="L11" s="10" t="s">
        <v>67</v>
      </c>
      <c r="M11" s="12" t="s">
        <v>2</v>
      </c>
      <c r="N11" s="10" t="s">
        <v>68</v>
      </c>
      <c r="O11" s="12" t="s">
        <v>4</v>
      </c>
      <c r="P11" s="10" t="s">
        <v>66</v>
      </c>
      <c r="Q11" s="12" t="s">
        <v>1</v>
      </c>
      <c r="R11" s="12" t="s">
        <v>9</v>
      </c>
      <c r="S11" s="10" t="s">
        <v>69</v>
      </c>
      <c r="T11" s="12" t="s">
        <v>3</v>
      </c>
    </row>
    <row r="12" spans="1:20" x14ac:dyDescent="0.3">
      <c r="A12" s="13" t="s">
        <v>3</v>
      </c>
      <c r="B12" s="11" t="s">
        <v>65</v>
      </c>
      <c r="C12" s="12" t="s">
        <v>0</v>
      </c>
      <c r="D12" s="12" t="s">
        <v>5</v>
      </c>
      <c r="E12" s="10" t="s">
        <v>67</v>
      </c>
      <c r="F12" s="12" t="s">
        <v>2</v>
      </c>
      <c r="G12" s="10" t="s">
        <v>68</v>
      </c>
      <c r="H12" s="12" t="s">
        <v>4</v>
      </c>
      <c r="I12" s="10" t="s">
        <v>66</v>
      </c>
      <c r="J12" s="12" t="s">
        <v>1</v>
      </c>
      <c r="K12" s="12" t="s">
        <v>9</v>
      </c>
      <c r="L12" s="10" t="s">
        <v>69</v>
      </c>
      <c r="M12" s="12" t="s">
        <v>3</v>
      </c>
      <c r="N12" s="10" t="s">
        <v>65</v>
      </c>
      <c r="O12" s="12" t="s">
        <v>0</v>
      </c>
      <c r="P12" s="12" t="s">
        <v>5</v>
      </c>
      <c r="Q12" s="10" t="s">
        <v>67</v>
      </c>
      <c r="R12" s="12" t="s">
        <v>2</v>
      </c>
      <c r="S12" s="10" t="s">
        <v>68</v>
      </c>
      <c r="T12" s="12" t="s">
        <v>4</v>
      </c>
    </row>
    <row r="13" spans="1:20" x14ac:dyDescent="0.3">
      <c r="A13" s="13" t="s">
        <v>4</v>
      </c>
      <c r="B13" s="11" t="s">
        <v>66</v>
      </c>
      <c r="C13" s="12" t="s">
        <v>1</v>
      </c>
      <c r="D13" s="12" t="s">
        <v>9</v>
      </c>
      <c r="E13" s="10" t="s">
        <v>69</v>
      </c>
      <c r="F13" s="12" t="s">
        <v>3</v>
      </c>
      <c r="G13" s="10" t="s">
        <v>65</v>
      </c>
      <c r="H13" s="12" t="s">
        <v>0</v>
      </c>
      <c r="I13" s="12" t="s">
        <v>5</v>
      </c>
      <c r="J13" s="10" t="s">
        <v>67</v>
      </c>
      <c r="K13" s="12" t="s">
        <v>2</v>
      </c>
      <c r="L13" s="10" t="s">
        <v>68</v>
      </c>
      <c r="M13" s="12" t="s">
        <v>4</v>
      </c>
      <c r="N13" s="10" t="s">
        <v>66</v>
      </c>
      <c r="O13" s="12" t="s">
        <v>1</v>
      </c>
      <c r="P13" s="12" t="s">
        <v>9</v>
      </c>
      <c r="Q13" s="10" t="s">
        <v>69</v>
      </c>
      <c r="R13" s="12" t="s">
        <v>3</v>
      </c>
      <c r="S13" s="10" t="s">
        <v>65</v>
      </c>
      <c r="T13" s="12" t="s">
        <v>0</v>
      </c>
    </row>
    <row r="14" spans="1:20" x14ac:dyDescent="0.3">
      <c r="A14" s="13" t="s">
        <v>0</v>
      </c>
      <c r="B14" s="14" t="s">
        <v>5</v>
      </c>
      <c r="C14" s="10" t="s">
        <v>67</v>
      </c>
      <c r="D14" s="12" t="s">
        <v>2</v>
      </c>
      <c r="E14" s="10" t="s">
        <v>68</v>
      </c>
      <c r="F14" s="12" t="s">
        <v>4</v>
      </c>
      <c r="G14" s="10" t="s">
        <v>66</v>
      </c>
      <c r="H14" s="12" t="s">
        <v>1</v>
      </c>
      <c r="I14" s="12" t="s">
        <v>9</v>
      </c>
      <c r="J14" s="10" t="s">
        <v>69</v>
      </c>
      <c r="K14" s="12" t="s">
        <v>3</v>
      </c>
      <c r="L14" s="10" t="s">
        <v>65</v>
      </c>
      <c r="M14" s="12" t="s">
        <v>0</v>
      </c>
      <c r="N14" s="12" t="s">
        <v>5</v>
      </c>
      <c r="O14" s="10" t="s">
        <v>67</v>
      </c>
      <c r="P14" s="12" t="s">
        <v>2</v>
      </c>
      <c r="Q14" s="10" t="s">
        <v>68</v>
      </c>
      <c r="R14" s="12" t="s">
        <v>4</v>
      </c>
      <c r="S14" s="10" t="s">
        <v>66</v>
      </c>
      <c r="T14" s="12" t="s">
        <v>1</v>
      </c>
    </row>
    <row r="17" spans="2:21" x14ac:dyDescent="0.3">
      <c r="B17" s="13" t="s">
        <v>5</v>
      </c>
      <c r="C17" s="11" t="s">
        <v>67</v>
      </c>
      <c r="D17" s="12" t="s">
        <v>2</v>
      </c>
      <c r="E17" s="10" t="s">
        <v>68</v>
      </c>
      <c r="F17" s="12" t="s">
        <v>4</v>
      </c>
      <c r="G17" s="10" t="s">
        <v>66</v>
      </c>
      <c r="H17" s="12" t="s">
        <v>1</v>
      </c>
      <c r="I17" s="12" t="s">
        <v>9</v>
      </c>
      <c r="J17" s="10" t="s">
        <v>69</v>
      </c>
      <c r="K17" s="12" t="s">
        <v>3</v>
      </c>
      <c r="L17" s="10" t="s">
        <v>65</v>
      </c>
      <c r="M17" s="12" t="s">
        <v>0</v>
      </c>
      <c r="N17" s="12" t="s">
        <v>5</v>
      </c>
      <c r="O17" s="10" t="s">
        <v>67</v>
      </c>
      <c r="P17" s="12" t="s">
        <v>2</v>
      </c>
      <c r="Q17" s="10" t="s">
        <v>68</v>
      </c>
      <c r="R17" s="12" t="s">
        <v>4</v>
      </c>
      <c r="S17" s="10" t="s">
        <v>66</v>
      </c>
      <c r="T17" s="12" t="s">
        <v>1</v>
      </c>
      <c r="U17" s="12" t="s">
        <v>9</v>
      </c>
    </row>
    <row r="18" spans="2:21" x14ac:dyDescent="0.3">
      <c r="B18" s="13" t="s">
        <v>9</v>
      </c>
      <c r="C18" s="11" t="s">
        <v>69</v>
      </c>
      <c r="D18" s="12" t="s">
        <v>3</v>
      </c>
      <c r="E18" s="10" t="s">
        <v>65</v>
      </c>
      <c r="F18" s="12" t="s">
        <v>0</v>
      </c>
      <c r="G18" s="12" t="s">
        <v>5</v>
      </c>
      <c r="H18" s="10" t="s">
        <v>67</v>
      </c>
      <c r="I18" s="12" t="s">
        <v>2</v>
      </c>
      <c r="J18" s="10" t="s">
        <v>68</v>
      </c>
      <c r="K18" s="12" t="s">
        <v>4</v>
      </c>
      <c r="L18" s="10" t="s">
        <v>66</v>
      </c>
      <c r="M18" s="12" t="s">
        <v>1</v>
      </c>
      <c r="N18" s="12" t="s">
        <v>9</v>
      </c>
      <c r="O18" s="10" t="s">
        <v>69</v>
      </c>
      <c r="P18" s="12" t="s">
        <v>3</v>
      </c>
      <c r="Q18" s="10" t="s">
        <v>65</v>
      </c>
      <c r="R18" s="12" t="s">
        <v>0</v>
      </c>
      <c r="S18" s="12" t="s">
        <v>5</v>
      </c>
      <c r="T18" s="10" t="s">
        <v>67</v>
      </c>
      <c r="U18" s="12" t="s">
        <v>2</v>
      </c>
    </row>
    <row r="19" spans="2:21" x14ac:dyDescent="0.3">
      <c r="B19" s="13" t="s">
        <v>2</v>
      </c>
      <c r="C19" s="11" t="s">
        <v>68</v>
      </c>
      <c r="D19" s="12" t="s">
        <v>4</v>
      </c>
      <c r="E19" s="10" t="s">
        <v>66</v>
      </c>
      <c r="F19" s="12" t="s">
        <v>1</v>
      </c>
      <c r="G19" s="12" t="s">
        <v>9</v>
      </c>
      <c r="H19" s="10" t="s">
        <v>69</v>
      </c>
      <c r="I19" s="12" t="s">
        <v>3</v>
      </c>
      <c r="J19" s="10" t="s">
        <v>65</v>
      </c>
      <c r="K19" s="12" t="s">
        <v>0</v>
      </c>
      <c r="L19" s="12" t="s">
        <v>5</v>
      </c>
      <c r="M19" s="10" t="s">
        <v>67</v>
      </c>
      <c r="N19" s="12" t="s">
        <v>2</v>
      </c>
      <c r="O19" s="10" t="s">
        <v>68</v>
      </c>
      <c r="P19" s="12" t="s">
        <v>4</v>
      </c>
      <c r="Q19" s="10" t="s">
        <v>66</v>
      </c>
      <c r="R19" s="12" t="s">
        <v>1</v>
      </c>
      <c r="S19" s="12" t="s">
        <v>9</v>
      </c>
      <c r="T19" s="10" t="s">
        <v>69</v>
      </c>
      <c r="U19" s="12" t="s">
        <v>3</v>
      </c>
    </row>
    <row r="20" spans="2:21" x14ac:dyDescent="0.3">
      <c r="B20" s="13" t="s">
        <v>3</v>
      </c>
      <c r="C20" s="11" t="s">
        <v>65</v>
      </c>
      <c r="D20" s="12" t="s">
        <v>0</v>
      </c>
      <c r="E20" s="12" t="s">
        <v>5</v>
      </c>
      <c r="F20" s="10" t="s">
        <v>67</v>
      </c>
      <c r="G20" s="12" t="s">
        <v>2</v>
      </c>
      <c r="H20" s="10" t="s">
        <v>68</v>
      </c>
      <c r="I20" s="12" t="s">
        <v>4</v>
      </c>
      <c r="J20" s="10" t="s">
        <v>66</v>
      </c>
      <c r="K20" s="12" t="s">
        <v>1</v>
      </c>
      <c r="L20" s="12" t="s">
        <v>9</v>
      </c>
      <c r="M20" s="10" t="s">
        <v>69</v>
      </c>
      <c r="N20" s="12" t="s">
        <v>3</v>
      </c>
      <c r="O20" s="10" t="s">
        <v>65</v>
      </c>
      <c r="P20" s="12" t="s">
        <v>0</v>
      </c>
      <c r="Q20" s="12" t="s">
        <v>5</v>
      </c>
      <c r="R20" s="10" t="s">
        <v>67</v>
      </c>
      <c r="S20" s="12" t="s">
        <v>2</v>
      </c>
      <c r="T20" s="10" t="s">
        <v>68</v>
      </c>
      <c r="U20" s="12" t="s">
        <v>4</v>
      </c>
    </row>
    <row r="21" spans="2:21" x14ac:dyDescent="0.3">
      <c r="B21" s="13" t="s">
        <v>4</v>
      </c>
      <c r="C21" s="11" t="s">
        <v>66</v>
      </c>
      <c r="D21" s="12" t="s">
        <v>1</v>
      </c>
      <c r="E21" s="12" t="s">
        <v>9</v>
      </c>
      <c r="F21" s="10" t="s">
        <v>69</v>
      </c>
      <c r="G21" s="12" t="s">
        <v>3</v>
      </c>
      <c r="H21" s="10" t="s">
        <v>65</v>
      </c>
      <c r="I21" s="12" t="s">
        <v>0</v>
      </c>
      <c r="J21" s="12" t="s">
        <v>5</v>
      </c>
      <c r="K21" s="10" t="s">
        <v>67</v>
      </c>
      <c r="L21" s="12" t="s">
        <v>2</v>
      </c>
      <c r="M21" s="10" t="s">
        <v>68</v>
      </c>
      <c r="N21" s="12" t="s">
        <v>4</v>
      </c>
      <c r="O21" s="10" t="s">
        <v>66</v>
      </c>
      <c r="P21" s="12" t="s">
        <v>1</v>
      </c>
      <c r="Q21" s="12" t="s">
        <v>9</v>
      </c>
      <c r="R21" s="10" t="s">
        <v>69</v>
      </c>
      <c r="S21" s="12" t="s">
        <v>3</v>
      </c>
      <c r="T21" s="10" t="s">
        <v>65</v>
      </c>
      <c r="U21" s="12" t="s">
        <v>0</v>
      </c>
    </row>
    <row r="22" spans="2:21" x14ac:dyDescent="0.3">
      <c r="B22" s="13" t="s">
        <v>0</v>
      </c>
      <c r="C22" s="14" t="s">
        <v>5</v>
      </c>
      <c r="D22" s="10" t="s">
        <v>67</v>
      </c>
      <c r="E22" s="12" t="s">
        <v>2</v>
      </c>
      <c r="F22" s="10" t="s">
        <v>68</v>
      </c>
      <c r="G22" s="12" t="s">
        <v>4</v>
      </c>
      <c r="H22" s="10" t="s">
        <v>66</v>
      </c>
      <c r="I22" s="12" t="s">
        <v>1</v>
      </c>
      <c r="J22" s="12" t="s">
        <v>9</v>
      </c>
      <c r="K22" s="10" t="s">
        <v>69</v>
      </c>
      <c r="L22" s="12" t="s">
        <v>3</v>
      </c>
      <c r="M22" s="10" t="s">
        <v>65</v>
      </c>
      <c r="N22" s="12" t="s">
        <v>0</v>
      </c>
      <c r="O22" s="12" t="s">
        <v>5</v>
      </c>
      <c r="P22" s="10" t="s">
        <v>67</v>
      </c>
      <c r="Q22" s="12" t="s">
        <v>2</v>
      </c>
      <c r="R22" s="10" t="s">
        <v>68</v>
      </c>
      <c r="S22" s="12" t="s">
        <v>4</v>
      </c>
      <c r="T22" s="10" t="s">
        <v>66</v>
      </c>
      <c r="U22" s="12" t="s">
        <v>1</v>
      </c>
    </row>
    <row r="24" spans="2:21" ht="15.6" x14ac:dyDescent="0.3">
      <c r="B24" s="20"/>
      <c r="C24" s="21">
        <v>7</v>
      </c>
      <c r="D24" s="22">
        <v>1</v>
      </c>
      <c r="E24" s="23"/>
      <c r="F24" s="24">
        <v>2</v>
      </c>
      <c r="G24" s="23"/>
      <c r="H24" s="22">
        <v>3</v>
      </c>
      <c r="I24" s="24">
        <v>4</v>
      </c>
      <c r="J24" s="23"/>
      <c r="K24" s="22">
        <v>5</v>
      </c>
      <c r="L24" s="23"/>
      <c r="M24" s="24">
        <v>6</v>
      </c>
      <c r="N24" s="24"/>
      <c r="O24" s="23">
        <v>7</v>
      </c>
      <c r="P24" s="22">
        <v>1</v>
      </c>
      <c r="Q24" s="23"/>
      <c r="R24" s="24">
        <v>2</v>
      </c>
      <c r="S24" s="23"/>
      <c r="T24" s="22">
        <v>3</v>
      </c>
      <c r="U24" s="24">
        <v>4</v>
      </c>
    </row>
    <row r="25" spans="2:21" ht="15.6" x14ac:dyDescent="0.3">
      <c r="B25" s="20">
        <v>4</v>
      </c>
      <c r="C25" s="21"/>
      <c r="D25" s="22">
        <v>5</v>
      </c>
      <c r="E25" s="23"/>
      <c r="F25" s="24">
        <v>6</v>
      </c>
      <c r="G25" s="24"/>
      <c r="H25" s="23">
        <v>7</v>
      </c>
      <c r="I25" s="22">
        <v>1</v>
      </c>
      <c r="J25" s="23"/>
      <c r="K25" s="24">
        <v>2</v>
      </c>
      <c r="L25" s="23"/>
      <c r="M25" s="22">
        <v>3</v>
      </c>
      <c r="N25" s="24">
        <v>4</v>
      </c>
      <c r="O25" s="23"/>
      <c r="P25" s="22">
        <v>5</v>
      </c>
      <c r="Q25" s="23"/>
      <c r="R25" s="24">
        <v>6</v>
      </c>
      <c r="S25" s="24"/>
      <c r="T25" s="23">
        <v>7</v>
      </c>
      <c r="U25" s="22">
        <v>1</v>
      </c>
    </row>
    <row r="26" spans="2:21" ht="15.6" x14ac:dyDescent="0.3">
      <c r="B26" s="25">
        <v>1</v>
      </c>
      <c r="C26" s="21"/>
      <c r="D26" s="24">
        <v>2</v>
      </c>
      <c r="E26" s="23"/>
      <c r="F26" s="22">
        <v>3</v>
      </c>
      <c r="G26" s="24">
        <v>4</v>
      </c>
      <c r="H26" s="23"/>
      <c r="I26" s="22">
        <v>5</v>
      </c>
      <c r="J26" s="23"/>
      <c r="K26" s="24">
        <v>6</v>
      </c>
      <c r="L26" s="24"/>
      <c r="M26" s="23">
        <v>7</v>
      </c>
      <c r="N26" s="22">
        <v>1</v>
      </c>
      <c r="O26" s="23"/>
      <c r="P26" s="24">
        <v>2</v>
      </c>
      <c r="Q26" s="23"/>
      <c r="R26" s="22">
        <v>3</v>
      </c>
      <c r="S26" s="24">
        <v>4</v>
      </c>
      <c r="T26" s="23"/>
      <c r="U26" s="22">
        <v>5</v>
      </c>
    </row>
    <row r="27" spans="2:21" ht="15.6" x14ac:dyDescent="0.3">
      <c r="B27" s="25">
        <v>5</v>
      </c>
      <c r="C27" s="21"/>
      <c r="D27" s="24">
        <v>6</v>
      </c>
      <c r="E27" s="24"/>
      <c r="F27" s="23">
        <v>7</v>
      </c>
      <c r="G27" s="22">
        <v>1</v>
      </c>
      <c r="H27" s="23"/>
      <c r="I27" s="24">
        <v>2</v>
      </c>
      <c r="J27" s="23"/>
      <c r="K27" s="22">
        <v>3</v>
      </c>
      <c r="L27" s="24">
        <v>4</v>
      </c>
      <c r="M27" s="23"/>
      <c r="N27" s="22">
        <v>5</v>
      </c>
      <c r="O27" s="23"/>
      <c r="P27" s="24">
        <v>6</v>
      </c>
      <c r="Q27" s="24"/>
      <c r="R27" s="23">
        <v>7</v>
      </c>
      <c r="S27" s="22">
        <v>1</v>
      </c>
      <c r="T27" s="23"/>
      <c r="U27" s="24">
        <v>2</v>
      </c>
    </row>
    <row r="28" spans="2:21" ht="15.6" x14ac:dyDescent="0.3">
      <c r="B28" s="20">
        <v>2</v>
      </c>
      <c r="C28" s="21"/>
      <c r="D28" s="22">
        <v>3</v>
      </c>
      <c r="E28" s="24">
        <v>4</v>
      </c>
      <c r="F28" s="23"/>
      <c r="G28" s="22">
        <v>5</v>
      </c>
      <c r="H28" s="23"/>
      <c r="I28" s="24">
        <v>6</v>
      </c>
      <c r="J28" s="24"/>
      <c r="K28" s="23">
        <v>7</v>
      </c>
      <c r="L28" s="22">
        <v>1</v>
      </c>
      <c r="M28" s="23"/>
      <c r="N28" s="24">
        <v>2</v>
      </c>
      <c r="O28" s="23"/>
      <c r="P28" s="22">
        <v>3</v>
      </c>
      <c r="Q28" s="24">
        <v>4</v>
      </c>
      <c r="R28" s="23"/>
      <c r="S28" s="22">
        <v>5</v>
      </c>
      <c r="T28" s="23"/>
      <c r="U28" s="24">
        <v>6</v>
      </c>
    </row>
    <row r="29" spans="2:21" ht="15.6" x14ac:dyDescent="0.3">
      <c r="B29" s="20">
        <v>6</v>
      </c>
      <c r="C29" s="26"/>
      <c r="D29" s="23">
        <v>7</v>
      </c>
      <c r="E29" s="22">
        <v>1</v>
      </c>
      <c r="F29" s="23"/>
      <c r="G29" s="24">
        <v>2</v>
      </c>
      <c r="H29" s="23"/>
      <c r="I29" s="22">
        <v>3</v>
      </c>
      <c r="J29" s="24">
        <v>4</v>
      </c>
      <c r="K29" s="23"/>
      <c r="L29" s="22">
        <v>5</v>
      </c>
      <c r="M29" s="23"/>
      <c r="N29" s="24">
        <v>6</v>
      </c>
      <c r="O29" s="24"/>
      <c r="P29" s="23">
        <v>7</v>
      </c>
      <c r="Q29" s="22">
        <v>1</v>
      </c>
      <c r="R29" s="23"/>
      <c r="S29" s="24">
        <v>2</v>
      </c>
      <c r="T29" s="23"/>
      <c r="U29" s="22">
        <v>3</v>
      </c>
    </row>
    <row r="30" spans="2:21" x14ac:dyDescent="0.3">
      <c r="L30" s="19"/>
    </row>
    <row r="31" spans="2:21" s="27" customFormat="1" x14ac:dyDescent="0.3"/>
    <row r="32" spans="2:21" s="27" customFormat="1" x14ac:dyDescent="0.3">
      <c r="M32" s="28"/>
      <c r="N32" s="28">
        <v>3</v>
      </c>
      <c r="O32" s="28"/>
    </row>
    <row r="33" spans="4:17" s="27" customFormat="1" x14ac:dyDescent="0.3">
      <c r="M33" s="28"/>
      <c r="N33" s="28"/>
      <c r="O33" s="28">
        <v>1</v>
      </c>
    </row>
    <row r="34" spans="4:17" s="27" customFormat="1" x14ac:dyDescent="0.3">
      <c r="H34" s="28">
        <v>1</v>
      </c>
      <c r="I34" s="28"/>
      <c r="J34" s="28"/>
      <c r="K34" s="28"/>
      <c r="M34" s="28"/>
      <c r="N34" s="28"/>
      <c r="O34" s="28">
        <v>5</v>
      </c>
    </row>
    <row r="35" spans="4:17" s="27" customFormat="1" x14ac:dyDescent="0.3">
      <c r="D35"/>
      <c r="E35"/>
      <c r="F35"/>
      <c r="G35"/>
      <c r="H35" s="28">
        <v>5</v>
      </c>
      <c r="I35" s="28"/>
      <c r="J35" s="28"/>
      <c r="K35" s="28"/>
      <c r="M35" s="28">
        <v>1</v>
      </c>
      <c r="N35" s="28"/>
      <c r="O35" s="28"/>
    </row>
    <row r="36" spans="4:17" x14ac:dyDescent="0.3">
      <c r="D36" s="28"/>
      <c r="E36" s="28">
        <v>3</v>
      </c>
      <c r="F36" s="28"/>
      <c r="H36" s="28"/>
      <c r="I36" s="28"/>
      <c r="J36" s="28">
        <v>3</v>
      </c>
      <c r="K36" s="28"/>
    </row>
    <row r="37" spans="4:17" x14ac:dyDescent="0.3">
      <c r="D37" s="28"/>
      <c r="E37" s="28"/>
      <c r="F37" s="28">
        <v>1</v>
      </c>
      <c r="H37" s="28"/>
      <c r="I37" s="28"/>
      <c r="J37" s="28"/>
      <c r="K37" s="28">
        <v>1</v>
      </c>
    </row>
    <row r="38" spans="4:17" x14ac:dyDescent="0.3">
      <c r="D38" s="28"/>
      <c r="E38" s="28"/>
      <c r="F38" s="28">
        <v>5</v>
      </c>
      <c r="H38" s="28"/>
      <c r="I38" s="28"/>
      <c r="J38" s="28"/>
      <c r="K38" s="28">
        <v>5</v>
      </c>
    </row>
    <row r="39" spans="4:17" x14ac:dyDescent="0.3">
      <c r="D39" s="28">
        <v>1</v>
      </c>
      <c r="E39" s="28"/>
      <c r="F39" s="28"/>
    </row>
    <row r="40" spans="4:17" x14ac:dyDescent="0.3">
      <c r="D40" s="28">
        <v>5</v>
      </c>
      <c r="E40" s="28"/>
      <c r="F40" s="28"/>
    </row>
    <row r="42" spans="4:17" x14ac:dyDescent="0.3">
      <c r="D42" s="28"/>
      <c r="E42" s="28"/>
      <c r="F42" s="28">
        <v>1</v>
      </c>
      <c r="H42" s="28">
        <v>1</v>
      </c>
      <c r="I42" s="28"/>
      <c r="J42" s="28"/>
      <c r="K42" s="28"/>
    </row>
    <row r="43" spans="4:17" x14ac:dyDescent="0.3">
      <c r="D43" s="28"/>
      <c r="E43" s="28"/>
      <c r="F43" s="28">
        <v>5</v>
      </c>
      <c r="H43" s="28">
        <v>5</v>
      </c>
      <c r="I43" s="28"/>
      <c r="J43" s="28"/>
      <c r="K43" s="28"/>
    </row>
    <row r="44" spans="4:17" x14ac:dyDescent="0.3">
      <c r="D44" s="28">
        <v>1</v>
      </c>
      <c r="E44" s="28"/>
      <c r="F44" s="28"/>
      <c r="H44" s="28"/>
      <c r="I44" s="28"/>
      <c r="J44" s="28">
        <v>3</v>
      </c>
      <c r="K44" s="28"/>
    </row>
    <row r="45" spans="4:17" x14ac:dyDescent="0.3">
      <c r="D45" s="28">
        <v>5</v>
      </c>
      <c r="E45" s="28"/>
      <c r="F45" s="28"/>
      <c r="H45" s="28"/>
      <c r="I45" s="28"/>
      <c r="J45" s="28"/>
      <c r="K45" s="28">
        <v>1</v>
      </c>
    </row>
    <row r="46" spans="4:17" x14ac:dyDescent="0.3">
      <c r="D46" s="28"/>
      <c r="E46" s="28"/>
      <c r="F46" s="28">
        <v>3</v>
      </c>
      <c r="H46" s="28">
        <v>3</v>
      </c>
      <c r="I46" s="28"/>
      <c r="J46" s="28"/>
      <c r="K46" s="28"/>
    </row>
    <row r="48" spans="4:17" x14ac:dyDescent="0.3">
      <c r="N48" s="28">
        <v>1</v>
      </c>
      <c r="O48" s="28"/>
      <c r="P48" s="28"/>
      <c r="Q48" s="28"/>
    </row>
    <row r="49" spans="14:17" x14ac:dyDescent="0.3">
      <c r="N49" s="28">
        <v>5</v>
      </c>
      <c r="O49" s="28"/>
      <c r="P49" s="28"/>
      <c r="Q49" s="28"/>
    </row>
    <row r="50" spans="14:17" x14ac:dyDescent="0.3">
      <c r="N50" s="28"/>
      <c r="O50" s="28"/>
      <c r="P50" s="28">
        <v>3</v>
      </c>
      <c r="Q50" s="28"/>
    </row>
    <row r="51" spans="14:17" x14ac:dyDescent="0.3">
      <c r="N51" s="28"/>
      <c r="O51" s="28"/>
      <c r="P51" s="28"/>
      <c r="Q51" s="28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49"/>
  <sheetViews>
    <sheetView topLeftCell="A22" zoomScaleNormal="100" workbookViewId="0">
      <selection activeCell="L33" sqref="L33"/>
    </sheetView>
  </sheetViews>
  <sheetFormatPr defaultRowHeight="14.4" x14ac:dyDescent="0.3"/>
  <cols>
    <col min="1" max="12" width="3.33203125" customWidth="1"/>
    <col min="13" max="13" width="1.88671875" customWidth="1"/>
    <col min="14" max="25" width="3.33203125" customWidth="1"/>
  </cols>
  <sheetData>
    <row r="1" spans="1:25" x14ac:dyDescent="0.3">
      <c r="A1" s="6" t="s">
        <v>4</v>
      </c>
      <c r="B1" t="s">
        <v>4</v>
      </c>
      <c r="D1" s="6" t="s">
        <v>4</v>
      </c>
      <c r="F1" s="6" t="s">
        <v>4</v>
      </c>
      <c r="H1" t="s">
        <v>4</v>
      </c>
      <c r="I1" s="6" t="s">
        <v>4</v>
      </c>
      <c r="K1" s="6" t="s">
        <v>4</v>
      </c>
      <c r="N1" s="6" t="s">
        <v>4</v>
      </c>
      <c r="O1" s="6" t="s">
        <v>8</v>
      </c>
      <c r="P1" s="6" t="s">
        <v>1</v>
      </c>
      <c r="Q1" s="6" t="s">
        <v>4</v>
      </c>
      <c r="R1" s="6" t="s">
        <v>8</v>
      </c>
      <c r="S1" s="6" t="s">
        <v>4</v>
      </c>
      <c r="T1" s="6" t="s">
        <v>8</v>
      </c>
      <c r="U1" s="6" t="s">
        <v>1</v>
      </c>
      <c r="V1" s="6" t="s">
        <v>4</v>
      </c>
      <c r="W1" s="6" t="s">
        <v>8</v>
      </c>
      <c r="X1" s="6" t="s">
        <v>4</v>
      </c>
      <c r="Y1" s="6" t="s">
        <v>8</v>
      </c>
    </row>
    <row r="2" spans="1:25" x14ac:dyDescent="0.3">
      <c r="B2" s="6" t="s">
        <v>8</v>
      </c>
      <c r="C2" t="s">
        <v>8</v>
      </c>
      <c r="E2" s="6" t="s">
        <v>8</v>
      </c>
      <c r="G2" s="6" t="s">
        <v>8</v>
      </c>
      <c r="I2" t="s">
        <v>8</v>
      </c>
      <c r="J2" s="6" t="s">
        <v>8</v>
      </c>
      <c r="L2" s="6" t="s">
        <v>8</v>
      </c>
      <c r="N2" s="6" t="s">
        <v>1</v>
      </c>
      <c r="O2" s="6" t="s">
        <v>9</v>
      </c>
      <c r="P2" s="6" t="s">
        <v>10</v>
      </c>
      <c r="Q2" s="6" t="s">
        <v>9</v>
      </c>
      <c r="R2" s="6" t="s">
        <v>10</v>
      </c>
      <c r="S2" s="6" t="s">
        <v>1</v>
      </c>
      <c r="T2" s="6" t="s">
        <v>9</v>
      </c>
      <c r="U2" s="6" t="s">
        <v>10</v>
      </c>
      <c r="V2" s="6" t="s">
        <v>9</v>
      </c>
      <c r="W2" s="6" t="s">
        <v>10</v>
      </c>
      <c r="X2" s="6" t="s">
        <v>1</v>
      </c>
      <c r="Y2" s="6" t="s">
        <v>9</v>
      </c>
    </row>
    <row r="3" spans="1:25" x14ac:dyDescent="0.3">
      <c r="A3" s="6" t="s">
        <v>1</v>
      </c>
      <c r="B3" s="6"/>
      <c r="C3" s="6" t="s">
        <v>1</v>
      </c>
      <c r="D3" t="s">
        <v>1</v>
      </c>
      <c r="F3" s="6" t="s">
        <v>1</v>
      </c>
      <c r="H3" s="6" t="s">
        <v>1</v>
      </c>
      <c r="J3" t="s">
        <v>1</v>
      </c>
      <c r="K3" s="6" t="s">
        <v>1</v>
      </c>
      <c r="N3" s="6" t="s">
        <v>10</v>
      </c>
      <c r="O3" s="6" t="s">
        <v>3</v>
      </c>
      <c r="P3" s="6" t="s">
        <v>11</v>
      </c>
      <c r="Q3" s="6" t="s">
        <v>3</v>
      </c>
      <c r="R3" s="6" t="s">
        <v>11</v>
      </c>
      <c r="S3" s="6" t="s">
        <v>3</v>
      </c>
      <c r="T3" s="6" t="s">
        <v>11</v>
      </c>
      <c r="U3" s="6" t="s">
        <v>0</v>
      </c>
      <c r="V3" s="6" t="s">
        <v>3</v>
      </c>
      <c r="W3" s="6" t="s">
        <v>11</v>
      </c>
      <c r="X3" s="6" t="s">
        <v>3</v>
      </c>
      <c r="Y3" s="6" t="s">
        <v>11</v>
      </c>
    </row>
    <row r="4" spans="1:25" x14ac:dyDescent="0.3">
      <c r="B4" s="6" t="s">
        <v>9</v>
      </c>
      <c r="C4" s="6"/>
      <c r="D4" s="6" t="s">
        <v>9</v>
      </c>
      <c r="E4" t="s">
        <v>9</v>
      </c>
      <c r="G4" s="6" t="s">
        <v>9</v>
      </c>
      <c r="I4" s="6" t="s">
        <v>9</v>
      </c>
      <c r="K4" t="s">
        <v>9</v>
      </c>
      <c r="L4" s="6" t="s">
        <v>9</v>
      </c>
      <c r="N4" s="6" t="s">
        <v>0</v>
      </c>
      <c r="O4" s="6" t="s">
        <v>5</v>
      </c>
      <c r="P4" s="6" t="s">
        <v>6</v>
      </c>
      <c r="Q4" s="6" t="s">
        <v>0</v>
      </c>
      <c r="R4" s="6" t="s">
        <v>5</v>
      </c>
      <c r="S4" s="6" t="s">
        <v>0</v>
      </c>
      <c r="T4" s="6" t="s">
        <v>5</v>
      </c>
      <c r="U4" s="6" t="s">
        <v>6</v>
      </c>
      <c r="V4" s="6" t="s">
        <v>5</v>
      </c>
      <c r="W4" s="6" t="s">
        <v>6</v>
      </c>
      <c r="X4" s="6" t="s">
        <v>0</v>
      </c>
      <c r="Y4" s="6" t="s">
        <v>5</v>
      </c>
    </row>
    <row r="5" spans="1:25" x14ac:dyDescent="0.3">
      <c r="A5" s="6" t="s">
        <v>10</v>
      </c>
      <c r="C5" s="6" t="s">
        <v>10</v>
      </c>
      <c r="E5" s="6" t="s">
        <v>10</v>
      </c>
      <c r="F5" t="s">
        <v>10</v>
      </c>
      <c r="H5" s="6" t="s">
        <v>10</v>
      </c>
      <c r="J5" s="6" t="s">
        <v>10</v>
      </c>
      <c r="L5" t="s">
        <v>10</v>
      </c>
      <c r="N5" s="6" t="s">
        <v>6</v>
      </c>
      <c r="O5" s="6" t="s">
        <v>2</v>
      </c>
      <c r="P5" s="6" t="s">
        <v>7</v>
      </c>
      <c r="Q5" s="6" t="s">
        <v>2</v>
      </c>
      <c r="R5" s="6" t="s">
        <v>7</v>
      </c>
      <c r="S5" s="6" t="s">
        <v>6</v>
      </c>
      <c r="T5" s="6" t="s">
        <v>2</v>
      </c>
      <c r="U5" s="6" t="s">
        <v>7</v>
      </c>
      <c r="V5" s="6" t="s">
        <v>2</v>
      </c>
      <c r="W5" s="6" t="s">
        <v>7</v>
      </c>
      <c r="X5" s="6" t="s">
        <v>2</v>
      </c>
      <c r="Y5" s="6" t="s">
        <v>7</v>
      </c>
    </row>
    <row r="6" spans="1:25" x14ac:dyDescent="0.3">
      <c r="A6" t="s">
        <v>3</v>
      </c>
      <c r="B6" s="6" t="s">
        <v>3</v>
      </c>
      <c r="D6" s="6" t="s">
        <v>3</v>
      </c>
      <c r="F6" s="6" t="s">
        <v>3</v>
      </c>
      <c r="G6" t="s">
        <v>3</v>
      </c>
      <c r="I6" s="6" t="s">
        <v>3</v>
      </c>
      <c r="K6" s="6" t="s">
        <v>3</v>
      </c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</row>
    <row r="7" spans="1:25" x14ac:dyDescent="0.3">
      <c r="B7" t="s">
        <v>11</v>
      </c>
      <c r="C7" s="6" t="s">
        <v>11</v>
      </c>
      <c r="E7" s="6" t="s">
        <v>11</v>
      </c>
      <c r="F7" s="6"/>
      <c r="G7" s="6" t="s">
        <v>11</v>
      </c>
      <c r="H7" t="s">
        <v>11</v>
      </c>
      <c r="J7" s="6" t="s">
        <v>11</v>
      </c>
      <c r="L7" s="6" t="s">
        <v>11</v>
      </c>
      <c r="N7" s="7" t="s">
        <v>4</v>
      </c>
      <c r="O7" s="7" t="s">
        <v>8</v>
      </c>
      <c r="P7" s="7" t="s">
        <v>1</v>
      </c>
      <c r="Q7" s="7" t="s">
        <v>9</v>
      </c>
      <c r="R7" s="7" t="s">
        <v>10</v>
      </c>
      <c r="S7" s="7" t="s">
        <v>3</v>
      </c>
      <c r="T7" s="7" t="s">
        <v>11</v>
      </c>
      <c r="U7" s="7" t="s">
        <v>0</v>
      </c>
      <c r="V7" s="7" t="s">
        <v>5</v>
      </c>
      <c r="W7" s="7" t="s">
        <v>6</v>
      </c>
      <c r="X7" s="7" t="s">
        <v>2</v>
      </c>
      <c r="Y7" s="7" t="s">
        <v>7</v>
      </c>
    </row>
    <row r="8" spans="1:25" x14ac:dyDescent="0.3">
      <c r="A8" s="6" t="s">
        <v>0</v>
      </c>
      <c r="C8" t="s">
        <v>0</v>
      </c>
      <c r="D8" s="6" t="s">
        <v>0</v>
      </c>
      <c r="F8" s="6" t="s">
        <v>0</v>
      </c>
      <c r="G8" s="6"/>
      <c r="H8" s="6" t="s">
        <v>0</v>
      </c>
      <c r="I8" t="s">
        <v>0</v>
      </c>
      <c r="K8" s="6" t="s">
        <v>0</v>
      </c>
      <c r="N8" s="7" t="s">
        <v>3</v>
      </c>
      <c r="O8" s="7" t="s">
        <v>11</v>
      </c>
      <c r="P8" s="7" t="s">
        <v>0</v>
      </c>
      <c r="Q8" s="7" t="s">
        <v>5</v>
      </c>
      <c r="R8" s="7" t="s">
        <v>6</v>
      </c>
      <c r="S8" s="7" t="s">
        <v>2</v>
      </c>
      <c r="T8" s="7" t="s">
        <v>7</v>
      </c>
      <c r="U8" s="7" t="s">
        <v>4</v>
      </c>
      <c r="V8" s="7" t="s">
        <v>8</v>
      </c>
      <c r="W8" s="7" t="s">
        <v>1</v>
      </c>
      <c r="X8" s="7" t="s">
        <v>9</v>
      </c>
      <c r="Y8" s="7" t="s">
        <v>10</v>
      </c>
    </row>
    <row r="9" spans="1:25" x14ac:dyDescent="0.3">
      <c r="B9" s="6" t="s">
        <v>5</v>
      </c>
      <c r="D9" t="s">
        <v>5</v>
      </c>
      <c r="E9" s="6" t="s">
        <v>5</v>
      </c>
      <c r="G9" s="6" t="s">
        <v>5</v>
      </c>
      <c r="H9" s="6"/>
      <c r="I9" s="6" t="s">
        <v>5</v>
      </c>
      <c r="J9" t="s">
        <v>5</v>
      </c>
      <c r="L9" s="6" t="s">
        <v>5</v>
      </c>
      <c r="N9" s="7" t="s">
        <v>0</v>
      </c>
      <c r="O9" s="7" t="s">
        <v>5</v>
      </c>
      <c r="P9" s="7" t="s">
        <v>6</v>
      </c>
      <c r="Q9" s="7" t="s">
        <v>2</v>
      </c>
      <c r="R9" s="7" t="s">
        <v>7</v>
      </c>
      <c r="S9" s="7" t="s">
        <v>4</v>
      </c>
      <c r="T9" s="7" t="s">
        <v>8</v>
      </c>
      <c r="U9" s="7" t="s">
        <v>1</v>
      </c>
      <c r="V9" s="7" t="s">
        <v>9</v>
      </c>
      <c r="W9" s="7" t="s">
        <v>10</v>
      </c>
      <c r="X9" s="7" t="s">
        <v>3</v>
      </c>
      <c r="Y9" s="7" t="s">
        <v>11</v>
      </c>
    </row>
    <row r="10" spans="1:25" x14ac:dyDescent="0.3">
      <c r="A10" s="6" t="s">
        <v>6</v>
      </c>
      <c r="C10" s="6" t="s">
        <v>6</v>
      </c>
      <c r="E10" t="s">
        <v>6</v>
      </c>
      <c r="F10" s="6" t="s">
        <v>6</v>
      </c>
      <c r="H10" s="6" t="s">
        <v>6</v>
      </c>
      <c r="I10" s="6"/>
      <c r="J10" s="6" t="s">
        <v>6</v>
      </c>
      <c r="K10" t="s">
        <v>6</v>
      </c>
    </row>
    <row r="11" spans="1:25" x14ac:dyDescent="0.3">
      <c r="B11" s="6" t="s">
        <v>2</v>
      </c>
      <c r="D11" s="6" t="s">
        <v>2</v>
      </c>
      <c r="F11" t="s">
        <v>2</v>
      </c>
      <c r="G11" s="6" t="s">
        <v>2</v>
      </c>
      <c r="I11" s="6" t="s">
        <v>2</v>
      </c>
      <c r="J11" s="6"/>
      <c r="K11" s="6" t="s">
        <v>2</v>
      </c>
      <c r="L11" t="s">
        <v>2</v>
      </c>
    </row>
    <row r="12" spans="1:25" x14ac:dyDescent="0.3">
      <c r="A12" t="s">
        <v>7</v>
      </c>
      <c r="C12" s="6" t="s">
        <v>7</v>
      </c>
      <c r="E12" s="6" t="s">
        <v>7</v>
      </c>
      <c r="G12" t="s">
        <v>7</v>
      </c>
      <c r="H12" s="6" t="s">
        <v>7</v>
      </c>
      <c r="J12" s="6" t="s">
        <v>7</v>
      </c>
      <c r="L12" s="6" t="s">
        <v>7</v>
      </c>
    </row>
    <row r="13" spans="1:25" x14ac:dyDescent="0.3">
      <c r="A13" s="6"/>
    </row>
    <row r="15" spans="1:25" x14ac:dyDescent="0.3">
      <c r="A15" s="6" t="s">
        <v>4</v>
      </c>
      <c r="B15" s="6" t="s">
        <v>8</v>
      </c>
      <c r="C15" s="6" t="s">
        <v>1</v>
      </c>
      <c r="D15" s="6" t="s">
        <v>9</v>
      </c>
      <c r="E15" s="6" t="s">
        <v>10</v>
      </c>
      <c r="F15" s="6" t="s">
        <v>3</v>
      </c>
      <c r="G15" s="6" t="s">
        <v>11</v>
      </c>
      <c r="H15" s="6" t="s">
        <v>0</v>
      </c>
      <c r="I15" s="6" t="s">
        <v>5</v>
      </c>
      <c r="J15" s="6" t="s">
        <v>6</v>
      </c>
      <c r="K15" s="6" t="s">
        <v>2</v>
      </c>
      <c r="L15" s="6" t="s">
        <v>7</v>
      </c>
      <c r="N15" s="6" t="s">
        <v>4</v>
      </c>
      <c r="O15" s="6" t="s">
        <v>8</v>
      </c>
      <c r="P15" s="6" t="s">
        <v>1</v>
      </c>
      <c r="Q15" s="6" t="s">
        <v>9</v>
      </c>
      <c r="R15" s="6" t="s">
        <v>10</v>
      </c>
      <c r="S15" s="6" t="s">
        <v>3</v>
      </c>
      <c r="T15" s="6" t="s">
        <v>11</v>
      </c>
      <c r="U15" s="6" t="s">
        <v>0</v>
      </c>
      <c r="V15" s="6" t="s">
        <v>5</v>
      </c>
      <c r="W15" s="6" t="s">
        <v>6</v>
      </c>
      <c r="X15" s="6" t="s">
        <v>2</v>
      </c>
      <c r="Y15" s="6" t="s">
        <v>7</v>
      </c>
    </row>
    <row r="16" spans="1:25" x14ac:dyDescent="0.3">
      <c r="A16" s="6" t="s">
        <v>1</v>
      </c>
      <c r="B16" s="6" t="s">
        <v>9</v>
      </c>
      <c r="C16" s="6" t="s">
        <v>10</v>
      </c>
      <c r="D16" s="6" t="s">
        <v>3</v>
      </c>
      <c r="E16" s="6" t="s">
        <v>11</v>
      </c>
      <c r="F16" s="6" t="s">
        <v>0</v>
      </c>
      <c r="G16" s="6" t="s">
        <v>5</v>
      </c>
      <c r="H16" s="6" t="s">
        <v>6</v>
      </c>
      <c r="I16" s="6" t="s">
        <v>2</v>
      </c>
      <c r="J16" s="6" t="s">
        <v>7</v>
      </c>
      <c r="K16" s="6" t="s">
        <v>4</v>
      </c>
      <c r="L16" s="6" t="s">
        <v>8</v>
      </c>
      <c r="N16" s="6" t="s">
        <v>1</v>
      </c>
      <c r="O16" s="6" t="s">
        <v>9</v>
      </c>
      <c r="P16" s="6" t="s">
        <v>10</v>
      </c>
      <c r="Q16" s="6" t="s">
        <v>3</v>
      </c>
      <c r="R16" s="6" t="s">
        <v>11</v>
      </c>
      <c r="S16" s="6" t="s">
        <v>0</v>
      </c>
      <c r="T16" s="6" t="s">
        <v>5</v>
      </c>
      <c r="U16" s="6" t="s">
        <v>6</v>
      </c>
      <c r="V16" s="6" t="s">
        <v>2</v>
      </c>
      <c r="W16" s="6" t="s">
        <v>7</v>
      </c>
      <c r="X16" s="6" t="s">
        <v>4</v>
      </c>
      <c r="Y16" s="6" t="s">
        <v>8</v>
      </c>
    </row>
    <row r="17" spans="1:25" x14ac:dyDescent="0.3">
      <c r="A17" s="6" t="s">
        <v>10</v>
      </c>
      <c r="B17" s="6" t="s">
        <v>3</v>
      </c>
      <c r="C17" s="6" t="s">
        <v>11</v>
      </c>
      <c r="D17" s="6" t="s">
        <v>0</v>
      </c>
      <c r="E17" s="6" t="s">
        <v>5</v>
      </c>
      <c r="F17" s="6" t="s">
        <v>6</v>
      </c>
      <c r="G17" s="6" t="s">
        <v>2</v>
      </c>
      <c r="H17" s="6" t="s">
        <v>7</v>
      </c>
      <c r="I17" s="6" t="s">
        <v>4</v>
      </c>
      <c r="J17" s="6" t="s">
        <v>8</v>
      </c>
      <c r="K17" s="6" t="s">
        <v>1</v>
      </c>
      <c r="L17" s="6" t="s">
        <v>9</v>
      </c>
      <c r="N17" s="6" t="s">
        <v>10</v>
      </c>
      <c r="O17" s="6" t="s">
        <v>3</v>
      </c>
      <c r="P17" s="6" t="s">
        <v>11</v>
      </c>
      <c r="Q17" s="6" t="s">
        <v>0</v>
      </c>
      <c r="R17" s="6" t="s">
        <v>5</v>
      </c>
      <c r="S17" s="6" t="s">
        <v>6</v>
      </c>
      <c r="T17" s="6" t="s">
        <v>2</v>
      </c>
      <c r="U17" s="6" t="s">
        <v>7</v>
      </c>
      <c r="V17" s="6" t="s">
        <v>4</v>
      </c>
      <c r="W17" s="6" t="s">
        <v>8</v>
      </c>
      <c r="X17" s="6" t="s">
        <v>1</v>
      </c>
      <c r="Y17" s="6" t="s">
        <v>9</v>
      </c>
    </row>
    <row r="18" spans="1:25" x14ac:dyDescent="0.3">
      <c r="A18" t="s">
        <v>3</v>
      </c>
      <c r="B18" t="s">
        <v>11</v>
      </c>
      <c r="C18" t="s">
        <v>0</v>
      </c>
      <c r="D18" t="s">
        <v>5</v>
      </c>
      <c r="E18" t="s">
        <v>6</v>
      </c>
      <c r="F18" t="s">
        <v>2</v>
      </c>
      <c r="G18" t="s">
        <v>7</v>
      </c>
      <c r="H18" t="s">
        <v>4</v>
      </c>
      <c r="I18" t="s">
        <v>8</v>
      </c>
      <c r="J18" t="s">
        <v>1</v>
      </c>
      <c r="K18" t="s">
        <v>9</v>
      </c>
      <c r="L18" t="s">
        <v>10</v>
      </c>
      <c r="N18" s="6" t="s">
        <v>0</v>
      </c>
      <c r="O18" s="6" t="s">
        <v>5</v>
      </c>
      <c r="P18" s="6" t="s">
        <v>6</v>
      </c>
      <c r="Q18" s="6" t="s">
        <v>2</v>
      </c>
      <c r="R18" s="6" t="s">
        <v>7</v>
      </c>
      <c r="S18" s="6" t="s">
        <v>1</v>
      </c>
      <c r="T18" s="6" t="s">
        <v>8</v>
      </c>
      <c r="U18" s="6" t="s">
        <v>1</v>
      </c>
      <c r="V18" s="6" t="s">
        <v>9</v>
      </c>
      <c r="W18" s="6" t="s">
        <v>10</v>
      </c>
      <c r="X18" s="6" t="s">
        <v>3</v>
      </c>
      <c r="Y18" s="6" t="s">
        <v>11</v>
      </c>
    </row>
    <row r="19" spans="1:25" x14ac:dyDescent="0.3">
      <c r="A19" s="6" t="s">
        <v>0</v>
      </c>
      <c r="B19" s="6" t="s">
        <v>5</v>
      </c>
      <c r="C19" s="6" t="s">
        <v>6</v>
      </c>
      <c r="D19" s="6" t="s">
        <v>2</v>
      </c>
      <c r="E19" s="6" t="s">
        <v>7</v>
      </c>
      <c r="F19" s="6" t="s">
        <v>4</v>
      </c>
      <c r="G19" s="6" t="s">
        <v>8</v>
      </c>
      <c r="H19" s="6" t="s">
        <v>1</v>
      </c>
      <c r="I19" s="6" t="s">
        <v>9</v>
      </c>
      <c r="J19" s="6" t="s">
        <v>10</v>
      </c>
      <c r="K19" s="6" t="s">
        <v>3</v>
      </c>
      <c r="L19" s="6" t="s">
        <v>11</v>
      </c>
      <c r="N19" s="6" t="s">
        <v>6</v>
      </c>
      <c r="O19" s="6" t="s">
        <v>2</v>
      </c>
      <c r="P19" s="6" t="s">
        <v>7</v>
      </c>
      <c r="Q19" s="6" t="s">
        <v>4</v>
      </c>
      <c r="R19" s="6" t="s">
        <v>8</v>
      </c>
      <c r="S19" s="6" t="s">
        <v>4</v>
      </c>
      <c r="T19" s="6" t="s">
        <v>9</v>
      </c>
      <c r="U19" s="6" t="s">
        <v>10</v>
      </c>
      <c r="V19" s="6" t="s">
        <v>3</v>
      </c>
      <c r="W19" s="6" t="s">
        <v>11</v>
      </c>
      <c r="X19" s="6" t="s">
        <v>0</v>
      </c>
      <c r="Y19" s="6" t="s">
        <v>5</v>
      </c>
    </row>
    <row r="20" spans="1:25" x14ac:dyDescent="0.3">
      <c r="A20" s="6" t="s">
        <v>6</v>
      </c>
      <c r="B20" s="6" t="s">
        <v>2</v>
      </c>
      <c r="C20" s="6" t="s">
        <v>7</v>
      </c>
      <c r="D20" s="6" t="s">
        <v>4</v>
      </c>
      <c r="E20" s="6" t="s">
        <v>8</v>
      </c>
      <c r="F20" s="6" t="s">
        <v>1</v>
      </c>
      <c r="G20" s="6" t="s">
        <v>9</v>
      </c>
      <c r="H20" s="6" t="s">
        <v>10</v>
      </c>
      <c r="I20" s="6" t="s">
        <v>3</v>
      </c>
      <c r="J20" s="6" t="s">
        <v>11</v>
      </c>
      <c r="K20" s="6" t="s">
        <v>0</v>
      </c>
      <c r="L20" s="6" t="s">
        <v>5</v>
      </c>
    </row>
    <row r="21" spans="1:25" x14ac:dyDescent="0.3">
      <c r="A21" t="s">
        <v>7</v>
      </c>
      <c r="B21" t="s">
        <v>4</v>
      </c>
      <c r="C21" t="s">
        <v>8</v>
      </c>
      <c r="D21" t="s">
        <v>1</v>
      </c>
      <c r="E21" t="s">
        <v>9</v>
      </c>
      <c r="F21" t="s">
        <v>10</v>
      </c>
      <c r="G21" t="s">
        <v>3</v>
      </c>
      <c r="H21" t="s">
        <v>11</v>
      </c>
      <c r="I21" t="s">
        <v>0</v>
      </c>
      <c r="J21" t="s">
        <v>5</v>
      </c>
      <c r="K21" t="s">
        <v>6</v>
      </c>
      <c r="L21" t="s">
        <v>2</v>
      </c>
    </row>
    <row r="22" spans="1:25" x14ac:dyDescent="0.3">
      <c r="A22" s="6" t="s">
        <v>4</v>
      </c>
      <c r="B22" s="6" t="s">
        <v>8</v>
      </c>
      <c r="C22" s="6" t="s">
        <v>1</v>
      </c>
      <c r="D22" s="6" t="s">
        <v>9</v>
      </c>
      <c r="E22" s="6" t="s">
        <v>10</v>
      </c>
      <c r="F22" s="6" t="s">
        <v>3</v>
      </c>
      <c r="G22" s="6" t="s">
        <v>11</v>
      </c>
      <c r="H22" s="6" t="s">
        <v>0</v>
      </c>
      <c r="I22" s="6" t="s">
        <v>5</v>
      </c>
      <c r="J22" s="6" t="s">
        <v>6</v>
      </c>
      <c r="K22" s="6" t="s">
        <v>2</v>
      </c>
      <c r="L22" s="6" t="s">
        <v>7</v>
      </c>
    </row>
    <row r="26" spans="1:25" x14ac:dyDescent="0.3">
      <c r="A26" s="6" t="s">
        <v>4</v>
      </c>
      <c r="N26" s="6" t="s">
        <v>4</v>
      </c>
      <c r="O26" s="6" t="s">
        <v>8</v>
      </c>
      <c r="P26" s="6" t="s">
        <v>1</v>
      </c>
      <c r="Q26" s="6" t="s">
        <v>9</v>
      </c>
      <c r="R26" s="6" t="s">
        <v>10</v>
      </c>
      <c r="S26" s="6" t="s">
        <v>3</v>
      </c>
      <c r="T26" s="6" t="s">
        <v>11</v>
      </c>
      <c r="U26" s="6" t="s">
        <v>0</v>
      </c>
      <c r="V26" s="6" t="s">
        <v>5</v>
      </c>
      <c r="W26" s="6" t="s">
        <v>6</v>
      </c>
      <c r="X26" s="6" t="s">
        <v>2</v>
      </c>
      <c r="Y26" s="6" t="s">
        <v>7</v>
      </c>
    </row>
    <row r="27" spans="1:25" x14ac:dyDescent="0.3">
      <c r="B27" s="6" t="s">
        <v>8</v>
      </c>
      <c r="N27" s="6" t="s">
        <v>1</v>
      </c>
      <c r="O27" s="6" t="s">
        <v>9</v>
      </c>
      <c r="P27" s="6" t="s">
        <v>10</v>
      </c>
      <c r="Q27" s="6" t="s">
        <v>3</v>
      </c>
      <c r="R27" s="6" t="s">
        <v>11</v>
      </c>
      <c r="S27" s="6" t="s">
        <v>0</v>
      </c>
      <c r="T27" s="6" t="s">
        <v>5</v>
      </c>
      <c r="U27" s="6" t="s">
        <v>6</v>
      </c>
      <c r="V27" s="6" t="s">
        <v>2</v>
      </c>
      <c r="W27" s="6" t="s">
        <v>7</v>
      </c>
      <c r="X27" s="6" t="s">
        <v>4</v>
      </c>
      <c r="Y27" s="6" t="s">
        <v>8</v>
      </c>
    </row>
    <row r="28" spans="1:25" x14ac:dyDescent="0.3">
      <c r="A28" s="6" t="s">
        <v>1</v>
      </c>
      <c r="C28" s="6" t="s">
        <v>1</v>
      </c>
      <c r="N28" s="6" t="s">
        <v>10</v>
      </c>
      <c r="O28" s="6" t="s">
        <v>3</v>
      </c>
      <c r="P28" s="6" t="s">
        <v>11</v>
      </c>
      <c r="Q28" s="6" t="s">
        <v>0</v>
      </c>
      <c r="R28" s="6" t="s">
        <v>5</v>
      </c>
      <c r="S28" s="6" t="s">
        <v>6</v>
      </c>
      <c r="T28" s="6" t="s">
        <v>2</v>
      </c>
      <c r="U28" s="6" t="s">
        <v>7</v>
      </c>
      <c r="V28" s="6" t="s">
        <v>4</v>
      </c>
      <c r="W28" s="6" t="s">
        <v>8</v>
      </c>
      <c r="X28" s="6" t="s">
        <v>1</v>
      </c>
      <c r="Y28" s="6" t="s">
        <v>9</v>
      </c>
    </row>
    <row r="29" spans="1:25" x14ac:dyDescent="0.3">
      <c r="B29" s="6" t="s">
        <v>9</v>
      </c>
      <c r="D29" s="6" t="s">
        <v>9</v>
      </c>
      <c r="N29" s="6" t="s">
        <v>0</v>
      </c>
      <c r="O29" s="6" t="s">
        <v>5</v>
      </c>
      <c r="P29" s="6" t="s">
        <v>6</v>
      </c>
      <c r="Q29" s="6" t="s">
        <v>2</v>
      </c>
      <c r="R29" s="6" t="s">
        <v>7</v>
      </c>
      <c r="S29" s="6" t="s">
        <v>1</v>
      </c>
      <c r="T29" s="6" t="s">
        <v>8</v>
      </c>
      <c r="U29" s="6" t="s">
        <v>1</v>
      </c>
      <c r="V29" s="6" t="s">
        <v>9</v>
      </c>
      <c r="W29" s="6" t="s">
        <v>10</v>
      </c>
      <c r="X29" s="6" t="s">
        <v>3</v>
      </c>
      <c r="Y29" s="6" t="s">
        <v>11</v>
      </c>
    </row>
    <row r="30" spans="1:25" x14ac:dyDescent="0.3">
      <c r="A30" s="6" t="s">
        <v>10</v>
      </c>
      <c r="C30" s="6" t="s">
        <v>10</v>
      </c>
      <c r="E30" s="6" t="s">
        <v>10</v>
      </c>
      <c r="N30" s="6" t="s">
        <v>6</v>
      </c>
      <c r="O30" s="6" t="s">
        <v>2</v>
      </c>
      <c r="P30" s="6" t="s">
        <v>7</v>
      </c>
      <c r="Q30" s="6" t="s">
        <v>4</v>
      </c>
      <c r="R30" s="6" t="s">
        <v>8</v>
      </c>
      <c r="S30" s="6" t="s">
        <v>4</v>
      </c>
      <c r="T30" s="6" t="s">
        <v>9</v>
      </c>
      <c r="U30" s="6" t="s">
        <v>10</v>
      </c>
      <c r="V30" s="6" t="s">
        <v>3</v>
      </c>
      <c r="W30" s="6" t="s">
        <v>11</v>
      </c>
      <c r="X30" s="6" t="s">
        <v>0</v>
      </c>
      <c r="Y30" s="6" t="s">
        <v>5</v>
      </c>
    </row>
    <row r="31" spans="1:25" x14ac:dyDescent="0.3">
      <c r="A31" t="s">
        <v>3</v>
      </c>
      <c r="B31" s="6" t="s">
        <v>3</v>
      </c>
      <c r="D31" s="6" t="s">
        <v>3</v>
      </c>
      <c r="F31" s="6" t="s">
        <v>3</v>
      </c>
    </row>
    <row r="32" spans="1:25" x14ac:dyDescent="0.3">
      <c r="B32" t="s">
        <v>11</v>
      </c>
      <c r="C32" s="6" t="s">
        <v>11</v>
      </c>
      <c r="E32" s="6" t="s">
        <v>11</v>
      </c>
      <c r="G32" s="6" t="s">
        <v>11</v>
      </c>
    </row>
    <row r="33" spans="1:12" x14ac:dyDescent="0.3">
      <c r="A33" s="6" t="s">
        <v>0</v>
      </c>
      <c r="C33" t="s">
        <v>0</v>
      </c>
      <c r="D33" s="6" t="s">
        <v>0</v>
      </c>
      <c r="F33" s="6" t="s">
        <v>0</v>
      </c>
      <c r="H33" s="6" t="s">
        <v>0</v>
      </c>
    </row>
    <row r="34" spans="1:12" x14ac:dyDescent="0.3">
      <c r="B34" s="6" t="s">
        <v>5</v>
      </c>
      <c r="D34" t="s">
        <v>5</v>
      </c>
      <c r="E34" s="6" t="s">
        <v>5</v>
      </c>
      <c r="G34" s="6" t="s">
        <v>5</v>
      </c>
      <c r="I34" s="6" t="s">
        <v>5</v>
      </c>
    </row>
    <row r="35" spans="1:12" x14ac:dyDescent="0.3">
      <c r="A35" s="6" t="s">
        <v>6</v>
      </c>
      <c r="C35" s="6" t="s">
        <v>6</v>
      </c>
      <c r="E35" t="s">
        <v>6</v>
      </c>
      <c r="F35" s="6" t="s">
        <v>6</v>
      </c>
      <c r="H35" s="6" t="s">
        <v>6</v>
      </c>
      <c r="J35" s="6" t="s">
        <v>6</v>
      </c>
    </row>
    <row r="36" spans="1:12" x14ac:dyDescent="0.3">
      <c r="B36" s="6" t="s">
        <v>2</v>
      </c>
      <c r="D36" s="6" t="s">
        <v>2</v>
      </c>
      <c r="F36" t="s">
        <v>2</v>
      </c>
      <c r="G36" s="6" t="s">
        <v>2</v>
      </c>
      <c r="I36" s="6" t="s">
        <v>2</v>
      </c>
      <c r="K36" s="6" t="s">
        <v>2</v>
      </c>
    </row>
    <row r="37" spans="1:12" x14ac:dyDescent="0.3">
      <c r="A37" t="s">
        <v>7</v>
      </c>
      <c r="C37" s="6" t="s">
        <v>7</v>
      </c>
      <c r="E37" s="6" t="s">
        <v>7</v>
      </c>
      <c r="G37" t="s">
        <v>7</v>
      </c>
      <c r="H37" s="6" t="s">
        <v>7</v>
      </c>
      <c r="J37" s="6" t="s">
        <v>7</v>
      </c>
      <c r="L37" s="6" t="s">
        <v>7</v>
      </c>
    </row>
    <row r="38" spans="1:12" x14ac:dyDescent="0.3">
      <c r="A38" s="6" t="s">
        <v>4</v>
      </c>
      <c r="B38" t="s">
        <v>4</v>
      </c>
      <c r="D38" s="6" t="s">
        <v>4</v>
      </c>
      <c r="F38" s="6" t="s">
        <v>4</v>
      </c>
      <c r="H38" t="s">
        <v>4</v>
      </c>
      <c r="I38" s="6" t="s">
        <v>4</v>
      </c>
      <c r="K38" s="6" t="s">
        <v>4</v>
      </c>
    </row>
    <row r="39" spans="1:12" x14ac:dyDescent="0.3">
      <c r="B39" s="6" t="s">
        <v>8</v>
      </c>
      <c r="C39" t="s">
        <v>8</v>
      </c>
      <c r="E39" s="6" t="s">
        <v>8</v>
      </c>
      <c r="G39" s="6" t="s">
        <v>8</v>
      </c>
      <c r="I39" t="s">
        <v>8</v>
      </c>
      <c r="J39" s="6" t="s">
        <v>8</v>
      </c>
      <c r="L39" s="6" t="s">
        <v>8</v>
      </c>
    </row>
    <row r="40" spans="1:12" x14ac:dyDescent="0.3">
      <c r="C40" s="6" t="s">
        <v>1</v>
      </c>
      <c r="D40" t="s">
        <v>1</v>
      </c>
      <c r="F40" s="6" t="s">
        <v>1</v>
      </c>
      <c r="H40" s="6" t="s">
        <v>1</v>
      </c>
      <c r="J40" t="s">
        <v>1</v>
      </c>
      <c r="K40" s="6" t="s">
        <v>1</v>
      </c>
    </row>
    <row r="41" spans="1:12" x14ac:dyDescent="0.3">
      <c r="D41" s="6" t="s">
        <v>9</v>
      </c>
      <c r="E41" t="s">
        <v>9</v>
      </c>
      <c r="G41" s="6" t="s">
        <v>9</v>
      </c>
      <c r="I41" s="6" t="s">
        <v>9</v>
      </c>
      <c r="K41" t="s">
        <v>9</v>
      </c>
      <c r="L41" s="6" t="s">
        <v>9</v>
      </c>
    </row>
    <row r="42" spans="1:12" x14ac:dyDescent="0.3">
      <c r="E42" s="6" t="s">
        <v>10</v>
      </c>
      <c r="F42" t="s">
        <v>10</v>
      </c>
      <c r="H42" s="6" t="s">
        <v>10</v>
      </c>
      <c r="J42" s="6" t="s">
        <v>10</v>
      </c>
      <c r="L42" t="s">
        <v>10</v>
      </c>
    </row>
    <row r="43" spans="1:12" x14ac:dyDescent="0.3">
      <c r="F43" s="6" t="s">
        <v>3</v>
      </c>
      <c r="G43" t="s">
        <v>3</v>
      </c>
      <c r="I43" s="6" t="s">
        <v>3</v>
      </c>
      <c r="K43" s="6" t="s">
        <v>3</v>
      </c>
    </row>
    <row r="44" spans="1:12" x14ac:dyDescent="0.3">
      <c r="G44" s="6" t="s">
        <v>11</v>
      </c>
      <c r="H44" t="s">
        <v>11</v>
      </c>
      <c r="J44" s="6" t="s">
        <v>11</v>
      </c>
      <c r="L44" s="6" t="s">
        <v>11</v>
      </c>
    </row>
    <row r="45" spans="1:12" x14ac:dyDescent="0.3">
      <c r="H45" s="6" t="s">
        <v>0</v>
      </c>
      <c r="I45" t="s">
        <v>0</v>
      </c>
      <c r="K45" s="6" t="s">
        <v>0</v>
      </c>
    </row>
    <row r="46" spans="1:12" x14ac:dyDescent="0.3">
      <c r="I46" s="6" t="s">
        <v>5</v>
      </c>
      <c r="J46" t="s">
        <v>5</v>
      </c>
      <c r="L46" s="6" t="s">
        <v>5</v>
      </c>
    </row>
    <row r="47" spans="1:12" x14ac:dyDescent="0.3">
      <c r="J47" s="6" t="s">
        <v>6</v>
      </c>
      <c r="K47" t="s">
        <v>6</v>
      </c>
    </row>
    <row r="48" spans="1:12" x14ac:dyDescent="0.3">
      <c r="K48" s="6" t="s">
        <v>2</v>
      </c>
      <c r="L48" t="s">
        <v>2</v>
      </c>
    </row>
    <row r="49" spans="12:12" x14ac:dyDescent="0.3">
      <c r="L49" s="6" t="s">
        <v>7</v>
      </c>
    </row>
  </sheetData>
  <sortState ref="Q15:Q19">
    <sortCondition ref="Q1:Q5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"/>
  <sheetViews>
    <sheetView workbookViewId="0">
      <selection activeCell="B2" sqref="B2"/>
    </sheetView>
  </sheetViews>
  <sheetFormatPr defaultRowHeight="14.4" x14ac:dyDescent="0.3"/>
  <cols>
    <col min="1" max="19" width="5.77734375" customWidth="1"/>
  </cols>
  <sheetData>
    <row r="1" spans="1:19" x14ac:dyDescent="0.3">
      <c r="A1" t="s">
        <v>70</v>
      </c>
    </row>
    <row r="2" spans="1:19" x14ac:dyDescent="0.3">
      <c r="A2">
        <v>610</v>
      </c>
    </row>
    <row r="4" spans="1:19" x14ac:dyDescent="0.3">
      <c r="A4" t="s">
        <v>5</v>
      </c>
      <c r="C4" t="s">
        <v>2</v>
      </c>
      <c r="E4" t="s">
        <v>4</v>
      </c>
      <c r="G4" t="s">
        <v>1</v>
      </c>
      <c r="H4" t="s">
        <v>9</v>
      </c>
      <c r="J4" t="s">
        <v>3</v>
      </c>
      <c r="L4" t="s">
        <v>0</v>
      </c>
      <c r="M4" t="s">
        <v>5</v>
      </c>
      <c r="O4" t="s">
        <v>2</v>
      </c>
      <c r="Q4" t="s">
        <v>4</v>
      </c>
      <c r="S4" t="s">
        <v>1</v>
      </c>
    </row>
    <row r="5" spans="1:19" x14ac:dyDescent="0.3">
      <c r="A5" s="8">
        <f>A2/17.817</f>
        <v>34.23696469663804</v>
      </c>
      <c r="B5" s="8">
        <f>A7/17.817</f>
        <v>32.315374939853058</v>
      </c>
      <c r="C5" s="8">
        <f t="shared" ref="C5:S5" si="0">B7/17.817</f>
        <v>30.393785183068069</v>
      </c>
      <c r="D5" s="8">
        <f t="shared" si="0"/>
        <v>28.580046902782215</v>
      </c>
      <c r="E5" s="8">
        <f t="shared" si="0"/>
        <v>26.874160098995489</v>
      </c>
      <c r="F5" s="8">
        <f t="shared" si="0"/>
        <v>25.270071481226942</v>
      </c>
      <c r="G5" s="8">
        <f t="shared" si="0"/>
        <v>23.761727758995619</v>
      </c>
      <c r="H5" s="8">
        <f t="shared" si="0"/>
        <v>22.343415389841052</v>
      </c>
      <c r="I5" s="8">
        <f t="shared" si="0"/>
        <v>21.009760579323252</v>
      </c>
      <c r="J5" s="8">
        <f t="shared" si="0"/>
        <v>19.755710212267012</v>
      </c>
      <c r="K5" s="8">
        <f t="shared" si="0"/>
        <v>18.57651278400618</v>
      </c>
      <c r="L5" s="8">
        <f t="shared" si="0"/>
        <v>17.467700401884219</v>
      </c>
      <c r="M5" s="8">
        <f t="shared" si="0"/>
        <v>16.425071857010998</v>
      </c>
      <c r="N5" s="8">
        <f t="shared" si="0"/>
        <v>15.444676706206472</v>
      </c>
      <c r="O5" s="8">
        <f t="shared" si="0"/>
        <v>14.522800304061835</v>
      </c>
      <c r="P5" s="8">
        <f t="shared" si="0"/>
        <v>13.65594972842023</v>
      </c>
      <c r="Q5" s="8">
        <f t="shared" si="0"/>
        <v>12.840840545950575</v>
      </c>
      <c r="R5" s="8">
        <f t="shared" si="0"/>
        <v>12.074384367670268</v>
      </c>
      <c r="S5" s="8">
        <f t="shared" si="0"/>
        <v>11.353677147265566</v>
      </c>
    </row>
    <row r="6" spans="1:19" x14ac:dyDescent="0.3">
      <c r="A6" s="8">
        <f>A5</f>
        <v>34.23696469663804</v>
      </c>
      <c r="B6" s="8">
        <f>A6+B5</f>
        <v>66.552339636491098</v>
      </c>
      <c r="C6" s="8">
        <f t="shared" ref="C6:S6" si="1">B6+C5</f>
        <v>96.946124819559174</v>
      </c>
      <c r="D6" s="8">
        <f t="shared" si="1"/>
        <v>125.52617172234139</v>
      </c>
      <c r="E6" s="8">
        <f t="shared" si="1"/>
        <v>152.40033182133686</v>
      </c>
      <c r="F6" s="8">
        <f t="shared" si="1"/>
        <v>177.67040330256381</v>
      </c>
      <c r="G6" s="8">
        <f t="shared" si="1"/>
        <v>201.43213106155943</v>
      </c>
      <c r="H6" s="8">
        <f t="shared" si="1"/>
        <v>223.77554645140049</v>
      </c>
      <c r="I6" s="8">
        <f t="shared" si="1"/>
        <v>244.78530703072374</v>
      </c>
      <c r="J6" s="8">
        <f t="shared" si="1"/>
        <v>264.54101724299073</v>
      </c>
      <c r="K6" s="8">
        <f t="shared" si="1"/>
        <v>283.11753002699692</v>
      </c>
      <c r="L6" s="8">
        <f t="shared" si="1"/>
        <v>300.58523042888112</v>
      </c>
      <c r="M6" s="8">
        <f t="shared" si="1"/>
        <v>317.01030228589212</v>
      </c>
      <c r="N6" s="8">
        <f t="shared" si="1"/>
        <v>332.45497899209857</v>
      </c>
      <c r="O6" s="8">
        <f t="shared" si="1"/>
        <v>346.97777929616041</v>
      </c>
      <c r="P6" s="8">
        <f t="shared" si="1"/>
        <v>360.63372902458065</v>
      </c>
      <c r="Q6" s="8">
        <f t="shared" si="1"/>
        <v>373.47456957053123</v>
      </c>
      <c r="R6" s="8">
        <f t="shared" si="1"/>
        <v>385.54895393820152</v>
      </c>
      <c r="S6" s="8">
        <f t="shared" si="1"/>
        <v>396.90263108546708</v>
      </c>
    </row>
    <row r="7" spans="1:19" x14ac:dyDescent="0.3">
      <c r="A7" s="8">
        <f>A2-A5</f>
        <v>575.7630353033619</v>
      </c>
      <c r="B7" s="8">
        <f>A7-A5</f>
        <v>541.52607060672381</v>
      </c>
      <c r="C7" s="8">
        <f t="shared" ref="C7:K7" si="2">B7-B5</f>
        <v>509.21069566687072</v>
      </c>
      <c r="D7" s="8">
        <f t="shared" si="2"/>
        <v>478.81691048380264</v>
      </c>
      <c r="E7" s="8">
        <f t="shared" si="2"/>
        <v>450.23686358102043</v>
      </c>
      <c r="F7" s="8">
        <f t="shared" si="2"/>
        <v>423.36270348202493</v>
      </c>
      <c r="G7" s="8">
        <f t="shared" si="2"/>
        <v>398.09263200079801</v>
      </c>
      <c r="H7" s="8">
        <f t="shared" si="2"/>
        <v>374.33090424180239</v>
      </c>
      <c r="I7" s="8">
        <f t="shared" si="2"/>
        <v>351.98748885196136</v>
      </c>
      <c r="J7" s="8">
        <f t="shared" si="2"/>
        <v>330.9777282726381</v>
      </c>
      <c r="K7" s="8">
        <f t="shared" si="2"/>
        <v>311.22201806037111</v>
      </c>
      <c r="L7" s="8">
        <f t="shared" ref="L7:P7" si="3">K7-K5</f>
        <v>292.64550527636493</v>
      </c>
      <c r="M7" s="8">
        <f t="shared" si="3"/>
        <v>275.17780487448073</v>
      </c>
      <c r="N7" s="8">
        <f t="shared" si="3"/>
        <v>258.75273301746972</v>
      </c>
      <c r="O7" s="8">
        <f t="shared" si="3"/>
        <v>243.30805631126324</v>
      </c>
      <c r="P7" s="8">
        <f t="shared" si="3"/>
        <v>228.78525600720141</v>
      </c>
      <c r="Q7" s="8">
        <f t="shared" ref="Q7:S7" si="4">P7-P5</f>
        <v>215.12930627878117</v>
      </c>
      <c r="R7" s="8">
        <f t="shared" si="4"/>
        <v>202.28846573283059</v>
      </c>
      <c r="S7" s="8">
        <f t="shared" si="4"/>
        <v>190.21408136516033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C_P</vt:lpstr>
      <vt:lpstr>raw</vt:lpstr>
      <vt:lpstr>Board</vt:lpstr>
      <vt:lpstr>Sheet1</vt:lpstr>
      <vt:lpstr>Sheet2</vt:lpstr>
      <vt:lpstr>current_mode</vt:lpstr>
      <vt:lpstr>notes</vt:lpstr>
      <vt:lpstr>root_note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finge_000</dc:creator>
  <cp:lastModifiedBy>Currier, Matthew</cp:lastModifiedBy>
  <cp:lastPrinted>2015-04-08T20:48:06Z</cp:lastPrinted>
  <dcterms:created xsi:type="dcterms:W3CDTF">2015-03-05T01:40:08Z</dcterms:created>
  <dcterms:modified xsi:type="dcterms:W3CDTF">2015-04-16T20:24:33Z</dcterms:modified>
</cp:coreProperties>
</file>