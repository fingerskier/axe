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" windowWidth="21636" windowHeight="9324" activeTab="2"/>
  </bookViews>
  <sheets>
    <sheet name="C_P" sheetId="3" r:id="rId1"/>
    <sheet name="raw" sheetId="4" r:id="rId2"/>
    <sheet name="Board" sheetId="6" r:id="rId3"/>
  </sheets>
  <definedNames>
    <definedName name="current_mode">raw!$K$2</definedName>
    <definedName name="fretboard">#REF!</definedName>
    <definedName name="notes">raw!$U$3:$U$10</definedName>
    <definedName name="root_note">raw!$F$2</definedName>
  </definedNames>
  <calcPr calcId="145621"/>
</workbook>
</file>

<file path=xl/calcChain.xml><?xml version="1.0" encoding="utf-8"?>
<calcChain xmlns="http://schemas.openxmlformats.org/spreadsheetml/2006/main">
  <c r="S2" i="4" l="1"/>
  <c r="R2" i="4"/>
  <c r="Q2" i="4"/>
  <c r="P2" i="4"/>
  <c r="O2" i="4"/>
  <c r="N2" i="4"/>
  <c r="M2" i="4"/>
  <c r="L2" i="4"/>
  <c r="T10" i="4" l="1"/>
  <c r="U10" i="4" s="1"/>
  <c r="T6" i="4"/>
  <c r="U6" i="4" s="1"/>
  <c r="T7" i="4"/>
  <c r="U7" i="4" s="1"/>
  <c r="T3" i="4"/>
  <c r="U3" i="4" s="1"/>
  <c r="T4" i="4"/>
  <c r="U4" i="4" s="1"/>
  <c r="T8" i="4"/>
  <c r="U8" i="4" s="1"/>
  <c r="T9" i="4"/>
  <c r="U9" i="4" s="1"/>
  <c r="T5" i="4"/>
  <c r="U5" i="4" s="1"/>
  <c r="E25" i="4"/>
  <c r="E24" i="4"/>
  <c r="E15" i="4"/>
  <c r="E16" i="4"/>
  <c r="E17" i="4"/>
  <c r="E18" i="4"/>
  <c r="E19" i="4"/>
  <c r="E20" i="4"/>
  <c r="E21" i="4"/>
  <c r="E22" i="4"/>
  <c r="E23" i="4"/>
  <c r="E14" i="4"/>
  <c r="L11" i="4" l="1"/>
</calcChain>
</file>

<file path=xl/sharedStrings.xml><?xml version="1.0" encoding="utf-8"?>
<sst xmlns="http://schemas.openxmlformats.org/spreadsheetml/2006/main" count="207" uniqueCount="73">
  <si>
    <t>E</t>
  </si>
  <si>
    <t>B</t>
  </si>
  <si>
    <t>G</t>
  </si>
  <si>
    <t>D</t>
  </si>
  <si>
    <t>A</t>
  </si>
  <si>
    <t>F</t>
  </si>
  <si>
    <t>F#</t>
  </si>
  <si>
    <t>G#</t>
  </si>
  <si>
    <t>A#</t>
  </si>
  <si>
    <t>C</t>
  </si>
  <si>
    <t>C#</t>
  </si>
  <si>
    <t>D#</t>
  </si>
  <si>
    <t>m2</t>
  </si>
  <si>
    <t>m3</t>
  </si>
  <si>
    <t>m5</t>
  </si>
  <si>
    <t>m6</t>
  </si>
  <si>
    <t>m7</t>
  </si>
  <si>
    <t>M2</t>
  </si>
  <si>
    <t>O</t>
  </si>
  <si>
    <t>-</t>
  </si>
  <si>
    <t>M3</t>
  </si>
  <si>
    <t>P4</t>
  </si>
  <si>
    <t>M5</t>
  </si>
  <si>
    <t>M6</t>
  </si>
  <si>
    <t>M7</t>
  </si>
  <si>
    <t>Dozenal System</t>
  </si>
  <si>
    <t>X</t>
  </si>
  <si>
    <t>I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</si>
  <si>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</si>
  <si>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</si>
  <si>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</si>
  <si>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</si>
  <si>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</si>
  <si>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</si>
  <si>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</si>
  <si>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</si>
  <si>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</si>
  <si>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dek</t>
  </si>
  <si>
    <t>el</t>
  </si>
  <si>
    <t>doh</t>
  </si>
  <si>
    <t>notes</t>
  </si>
  <si>
    <t>root</t>
  </si>
  <si>
    <t>locrian</t>
  </si>
  <si>
    <t>II</t>
  </si>
  <si>
    <t>III</t>
  </si>
  <si>
    <t>IV</t>
  </si>
  <si>
    <t>V</t>
  </si>
  <si>
    <t>VI</t>
  </si>
  <si>
    <t>VII</t>
  </si>
  <si>
    <t>VIII</t>
  </si>
  <si>
    <t>mode</t>
  </si>
  <si>
    <t>Ionian</t>
  </si>
  <si>
    <t>Dorian</t>
  </si>
  <si>
    <t>Phrygian</t>
  </si>
  <si>
    <t>Lydian</t>
  </si>
  <si>
    <t>Mixolydian</t>
  </si>
  <si>
    <t>Aeolian</t>
  </si>
  <si>
    <t>Hypoionian</t>
  </si>
  <si>
    <t>interval sequences</t>
  </si>
  <si>
    <t>Modes</t>
  </si>
  <si>
    <t>scaled</t>
  </si>
  <si>
    <t>zero</t>
  </si>
  <si>
    <t>seq</t>
  </si>
  <si>
    <t>Root</t>
  </si>
  <si>
    <t>Mode</t>
  </si>
  <si>
    <t>e</t>
  </si>
  <si>
    <t>b</t>
  </si>
  <si>
    <t>g</t>
  </si>
  <si>
    <t>a</t>
  </si>
  <si>
    <t>d</t>
  </si>
  <si>
    <t>f</t>
  </si>
  <si>
    <t>c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</si>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</sst>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0"/>
      <color theme="0"/>
      <name val="Corbel"/>
      <family val="2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gradientFill type="path" left="0.5" right="0.5" top="0.5" bottom="0.5">
        <stop position="0">
          <color theme="5" tint="-0.25098422193060094"/>
        </stop>
        <stop position="1">
          <color theme="5" tint="-0.49803155613879818"/>
        </stop>
      </gradientFill>
    </fill>
  </fills>
  <borders count="5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2" applyBorder="0" applyAlignment="0">
      <alignment horizontal="left" vertical="center" indent="1"/>
    </xf>
    <xf numFmtId="0" fontId="1" fillId="3" borderId="2" applyBorder="0" applyAlignment="0">
      <alignment horizontal="center" vertical="center"/>
    </xf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2" fillId="0" borderId="0" xfId="0" applyFont="1" applyFill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4" xfId="1" applyBorder="1" applyAlignment="1">
      <alignment horizontal="center"/>
    </xf>
  </cellXfs>
  <cellStyles count="3">
    <cellStyle name="Normal" xfId="0" builtinId="0"/>
    <cellStyle name="Pressed" xfId="2"/>
    <cellStyle name="Unpressed" xfId="1"/>
  </cellStyles>
  <dxfs count="1">
    <dxf>
      <fill>
        <gradientFill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</dxfs>
  <tableStyles count="0" defaultTableStyle="TableStyleMedium2" defaultPivotStyle="PivotStyleLight16"/>
  <colors>
    <mruColors>
      <color rgb="FFFF9393"/>
      <color rgb="FFFF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0" fmlaLink="raw!$F$2" fmlaRange="raw!$D$2:$D$13" noThreeD="1" sel="6" val="0"/>
</file>

<file path=xl/ctrlProps/ctrlProp2.xml><?xml version="1.0" encoding="utf-8"?>
<formControlPr xmlns="http://schemas.microsoft.com/office/spreadsheetml/2009/9/main" objectType="List" dx="20" fmlaLink="raw!$K$2" fmlaRange="raw!$J$2:$J$9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1</xdr:row>
          <xdr:rowOff>45720</xdr:rowOff>
        </xdr:from>
        <xdr:to>
          <xdr:col>1</xdr:col>
          <xdr:colOff>175260</xdr:colOff>
          <xdr:row>9</xdr:row>
          <xdr:rowOff>129540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</xdr:row>
          <xdr:rowOff>45720</xdr:rowOff>
        </xdr:from>
        <xdr:to>
          <xdr:col>3</xdr:col>
          <xdr:colOff>563880</xdr:colOff>
          <xdr:row>6</xdr:row>
          <xdr:rowOff>160020</xdr:rowOff>
        </xdr:to>
        <xdr:sp macro="" textlink="">
          <xdr:nvSpPr>
            <xdr:cNvPr id="3074" name="modeLis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trolPanel"/>
  <dimension ref="A1:C1"/>
  <sheetViews>
    <sheetView workbookViewId="0">
      <selection activeCell="E6" sqref="E6"/>
    </sheetView>
  </sheetViews>
  <sheetFormatPr defaultRowHeight="14.4" x14ac:dyDescent="0.3"/>
  <cols>
    <col min="1" max="3" width="5.77734375" customWidth="1"/>
  </cols>
  <sheetData>
    <row r="1" spans="1:3" x14ac:dyDescent="0.3">
      <c r="A1" t="s">
        <v>63</v>
      </c>
      <c r="C1" t="s">
        <v>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0</xdr:col>
                    <xdr:colOff>45720</xdr:colOff>
                    <xdr:row>1</xdr:row>
                    <xdr:rowOff>45720</xdr:rowOff>
                  </from>
                  <to>
                    <xdr:col>1</xdr:col>
                    <xdr:colOff>175260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deList">
              <controlPr defaultSize="0" autoLine="0" autoPict="0">
                <anchor moveWithCells="1">
                  <from>
                    <xdr:col>2</xdr:col>
                    <xdr:colOff>45720</xdr:colOff>
                    <xdr:row>1</xdr:row>
                    <xdr:rowOff>45720</xdr:rowOff>
                  </from>
                  <to>
                    <xdr:col>3</xdr:col>
                    <xdr:colOff>563880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wSheet"/>
  <dimension ref="A1:U25"/>
  <sheetViews>
    <sheetView workbookViewId="0">
      <selection activeCell="H19" sqref="H19"/>
    </sheetView>
  </sheetViews>
  <sheetFormatPr defaultRowHeight="14.4" x14ac:dyDescent="0.3"/>
  <cols>
    <col min="1" max="1" width="4.33203125" customWidth="1"/>
    <col min="2" max="2" width="3" bestFit="1" customWidth="1"/>
    <col min="3" max="3" width="8.77734375" customWidth="1"/>
    <col min="4" max="4" width="5.5546875" bestFit="1" customWidth="1"/>
    <col min="5" max="5" width="5.5546875" customWidth="1"/>
    <col min="6" max="6" width="4.5546875" bestFit="1" customWidth="1"/>
    <col min="7" max="7" width="4.5546875" customWidth="1"/>
    <col min="8" max="8" width="10.21875" bestFit="1" customWidth="1"/>
    <col min="9" max="9" width="4.5546875" customWidth="1"/>
    <col min="10" max="10" width="3.77734375" bestFit="1" customWidth="1"/>
    <col min="11" max="11" width="5.6640625" bestFit="1" customWidth="1"/>
    <col min="12" max="19" width="4.77734375" customWidth="1"/>
  </cols>
  <sheetData>
    <row r="1" spans="1:21" x14ac:dyDescent="0.3">
      <c r="A1" s="6" t="s">
        <v>25</v>
      </c>
      <c r="B1" s="6"/>
      <c r="C1" s="6"/>
      <c r="D1" t="s">
        <v>40</v>
      </c>
      <c r="F1" t="s">
        <v>41</v>
      </c>
      <c r="G1" t="s">
        <v>60</v>
      </c>
      <c r="H1" s="7" t="s">
        <v>59</v>
      </c>
      <c r="I1" s="7"/>
      <c r="J1" s="7"/>
      <c r="K1" t="s">
        <v>50</v>
      </c>
      <c r="L1" s="7" t="s">
        <v>58</v>
      </c>
      <c r="M1" s="7"/>
      <c r="N1" s="7"/>
      <c r="O1" s="7"/>
      <c r="P1" s="7"/>
      <c r="Q1" s="7"/>
      <c r="R1" s="7"/>
      <c r="S1" s="7"/>
      <c r="T1" t="s">
        <v>62</v>
      </c>
    </row>
    <row r="2" spans="1:21" x14ac:dyDescent="0.3">
      <c r="A2" s="1">
        <v>1</v>
      </c>
      <c r="B2" s="3">
        <v>0</v>
      </c>
      <c r="C2" s="3" t="s">
        <v>61</v>
      </c>
      <c r="D2" s="4" t="s">
        <v>4</v>
      </c>
      <c r="E2" s="3" t="s">
        <v>4</v>
      </c>
      <c r="F2">
        <v>6</v>
      </c>
      <c r="H2" t="s">
        <v>51</v>
      </c>
      <c r="I2">
        <v>1</v>
      </c>
      <c r="J2" s="1" t="s">
        <v>27</v>
      </c>
      <c r="K2">
        <v>3</v>
      </c>
      <c r="L2" t="str">
        <f t="shared" ref="L2:S2" si="0">IF(VLOOKUP(current_mode,$I$2:$J$9,2)=L3,1,"")</f>
        <v/>
      </c>
      <c r="M2" t="str">
        <f t="shared" si="0"/>
        <v/>
      </c>
      <c r="N2">
        <f t="shared" si="0"/>
        <v>1</v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</row>
    <row r="3" spans="1:21" x14ac:dyDescent="0.3">
      <c r="A3" s="1">
        <v>2</v>
      </c>
      <c r="B3" s="1">
        <v>1</v>
      </c>
      <c r="C3" s="1" t="s">
        <v>28</v>
      </c>
      <c r="D3" s="4" t="s">
        <v>8</v>
      </c>
      <c r="E3" s="3" t="s">
        <v>8</v>
      </c>
      <c r="H3" t="s">
        <v>52</v>
      </c>
      <c r="I3">
        <v>2</v>
      </c>
      <c r="J3" s="1" t="s">
        <v>43</v>
      </c>
      <c r="L3" s="1" t="s">
        <v>27</v>
      </c>
      <c r="M3" s="1" t="s">
        <v>43</v>
      </c>
      <c r="N3" s="1" t="s">
        <v>44</v>
      </c>
      <c r="O3" s="1" t="s">
        <v>45</v>
      </c>
      <c r="P3" s="1" t="s">
        <v>46</v>
      </c>
      <c r="Q3" s="1" t="s">
        <v>47</v>
      </c>
      <c r="R3" s="1" t="s">
        <v>48</v>
      </c>
      <c r="S3" s="1" t="s">
        <v>49</v>
      </c>
      <c r="T3">
        <f>HLOOKUP(1,$L$2:$S$11,3,TRUE)</f>
        <v>0</v>
      </c>
      <c r="U3" t="str">
        <f ca="1">OFFSET($E$1,$F$2+T3,0)</f>
        <v>D</v>
      </c>
    </row>
    <row r="4" spans="1:21" x14ac:dyDescent="0.3">
      <c r="A4" s="1">
        <v>3</v>
      </c>
      <c r="B4" s="1">
        <v>2</v>
      </c>
      <c r="C4" s="1" t="s">
        <v>29</v>
      </c>
      <c r="D4" s="4" t="s">
        <v>1</v>
      </c>
      <c r="E4" s="3" t="s">
        <v>1</v>
      </c>
      <c r="H4" t="s">
        <v>53</v>
      </c>
      <c r="I4">
        <v>3</v>
      </c>
      <c r="J4" s="1" t="s">
        <v>44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f>HLOOKUP(1,$L$2:$S$11,4,TRUE)</f>
        <v>1</v>
      </c>
      <c r="U4" t="str">
        <f ca="1">OFFSET($E$1,$F$2+T4,0)</f>
        <v>D#</v>
      </c>
    </row>
    <row r="5" spans="1:21" x14ac:dyDescent="0.3">
      <c r="A5" s="1">
        <v>4</v>
      </c>
      <c r="B5" s="1">
        <v>3</v>
      </c>
      <c r="C5" s="1" t="s">
        <v>30</v>
      </c>
      <c r="D5" s="4" t="s">
        <v>9</v>
      </c>
      <c r="E5" s="3" t="s">
        <v>9</v>
      </c>
      <c r="H5" t="s">
        <v>54</v>
      </c>
      <c r="I5">
        <v>4</v>
      </c>
      <c r="J5" s="1" t="s">
        <v>45</v>
      </c>
      <c r="L5">
        <v>2</v>
      </c>
      <c r="M5">
        <v>2</v>
      </c>
      <c r="N5">
        <v>1</v>
      </c>
      <c r="O5">
        <v>2</v>
      </c>
      <c r="P5">
        <v>2</v>
      </c>
      <c r="Q5">
        <v>2</v>
      </c>
      <c r="R5">
        <v>1</v>
      </c>
      <c r="S5">
        <v>2</v>
      </c>
      <c r="T5">
        <f>HLOOKUP(1,$L$2:$S$11,5,TRUE)</f>
        <v>3</v>
      </c>
      <c r="U5" t="str">
        <f t="shared" ref="U5:U10" ca="1" si="1">OFFSET($E$1,$F$2+T5,0)</f>
        <v>F</v>
      </c>
    </row>
    <row r="6" spans="1:21" x14ac:dyDescent="0.3">
      <c r="A6" s="1">
        <v>5</v>
      </c>
      <c r="B6" s="1">
        <v>4</v>
      </c>
      <c r="C6" s="1" t="s">
        <v>31</v>
      </c>
      <c r="D6" s="4" t="s">
        <v>10</v>
      </c>
      <c r="E6" s="3" t="s">
        <v>10</v>
      </c>
      <c r="H6" t="s">
        <v>55</v>
      </c>
      <c r="I6">
        <v>5</v>
      </c>
      <c r="J6" s="1" t="s">
        <v>46</v>
      </c>
      <c r="L6">
        <v>4</v>
      </c>
      <c r="M6">
        <v>3</v>
      </c>
      <c r="N6">
        <v>3</v>
      </c>
      <c r="O6">
        <v>4</v>
      </c>
      <c r="P6">
        <v>4</v>
      </c>
      <c r="Q6">
        <v>3</v>
      </c>
      <c r="R6">
        <v>3</v>
      </c>
      <c r="S6">
        <v>4</v>
      </c>
      <c r="T6">
        <f>HLOOKUP(1,$L$2:$S$11,6,TRUE)</f>
        <v>5</v>
      </c>
      <c r="U6" t="str">
        <f t="shared" ca="1" si="1"/>
        <v>G</v>
      </c>
    </row>
    <row r="7" spans="1:21" x14ac:dyDescent="0.3">
      <c r="A7" s="1">
        <v>6</v>
      </c>
      <c r="B7" s="1">
        <v>5</v>
      </c>
      <c r="C7" s="1" t="s">
        <v>32</v>
      </c>
      <c r="D7" s="4" t="s">
        <v>3</v>
      </c>
      <c r="E7" s="3" t="s">
        <v>3</v>
      </c>
      <c r="H7" t="s">
        <v>56</v>
      </c>
      <c r="I7">
        <v>6</v>
      </c>
      <c r="J7" s="1" t="s">
        <v>47</v>
      </c>
      <c r="L7">
        <v>5</v>
      </c>
      <c r="M7">
        <v>5</v>
      </c>
      <c r="N7">
        <v>5</v>
      </c>
      <c r="O7">
        <v>6</v>
      </c>
      <c r="P7">
        <v>5</v>
      </c>
      <c r="Q7">
        <v>5</v>
      </c>
      <c r="R7">
        <v>5</v>
      </c>
      <c r="S7">
        <v>5</v>
      </c>
      <c r="T7">
        <f>HLOOKUP(1,$L$2:$S$11,7,TRUE)</f>
        <v>7</v>
      </c>
      <c r="U7" t="str">
        <f t="shared" ca="1" si="1"/>
        <v>A</v>
      </c>
    </row>
    <row r="8" spans="1:21" x14ac:dyDescent="0.3">
      <c r="A8" s="1">
        <v>7</v>
      </c>
      <c r="B8" s="1">
        <v>6</v>
      </c>
      <c r="C8" s="1" t="s">
        <v>33</v>
      </c>
      <c r="D8" s="4" t="s">
        <v>11</v>
      </c>
      <c r="E8" s="3" t="s">
        <v>11</v>
      </c>
      <c r="H8" t="s">
        <v>42</v>
      </c>
      <c r="I8">
        <v>7</v>
      </c>
      <c r="J8" s="1" t="s">
        <v>48</v>
      </c>
      <c r="L8">
        <v>7</v>
      </c>
      <c r="M8">
        <v>7</v>
      </c>
      <c r="N8">
        <v>7</v>
      </c>
      <c r="O8">
        <v>7</v>
      </c>
      <c r="P8">
        <v>7</v>
      </c>
      <c r="Q8">
        <v>7</v>
      </c>
      <c r="R8">
        <v>6</v>
      </c>
      <c r="S8">
        <v>7</v>
      </c>
      <c r="T8">
        <f>HLOOKUP(1,$L$2:$S$11,8,TRUE)</f>
        <v>8</v>
      </c>
      <c r="U8" t="str">
        <f t="shared" ca="1" si="1"/>
        <v>A#</v>
      </c>
    </row>
    <row r="9" spans="1:21" x14ac:dyDescent="0.3">
      <c r="A9" s="1">
        <v>8</v>
      </c>
      <c r="B9" s="1">
        <v>7</v>
      </c>
      <c r="C9" s="1" t="s">
        <v>34</v>
      </c>
      <c r="D9" s="4" t="s">
        <v>0</v>
      </c>
      <c r="E9" s="3" t="s">
        <v>0</v>
      </c>
      <c r="H9" t="s">
        <v>57</v>
      </c>
      <c r="I9">
        <v>8</v>
      </c>
      <c r="J9" s="1" t="s">
        <v>49</v>
      </c>
      <c r="L9">
        <v>9</v>
      </c>
      <c r="M9">
        <v>9</v>
      </c>
      <c r="N9">
        <v>8</v>
      </c>
      <c r="O9">
        <v>9</v>
      </c>
      <c r="P9">
        <v>9</v>
      </c>
      <c r="Q9">
        <v>8</v>
      </c>
      <c r="R9">
        <v>8</v>
      </c>
      <c r="S9">
        <v>9</v>
      </c>
      <c r="T9">
        <f>HLOOKUP(1,$L$2:$S$11,9,TRUE)</f>
        <v>10</v>
      </c>
      <c r="U9" t="str">
        <f t="shared" ca="1" si="1"/>
        <v>C</v>
      </c>
    </row>
    <row r="10" spans="1:21" x14ac:dyDescent="0.3">
      <c r="A10" s="1">
        <v>9</v>
      </c>
      <c r="B10" s="1">
        <v>8</v>
      </c>
      <c r="C10" s="1" t="s">
        <v>35</v>
      </c>
      <c r="D10" s="4" t="s">
        <v>5</v>
      </c>
      <c r="E10" s="3" t="s">
        <v>5</v>
      </c>
      <c r="L10">
        <v>11</v>
      </c>
      <c r="M10">
        <v>10</v>
      </c>
      <c r="N10">
        <v>10</v>
      </c>
      <c r="O10">
        <v>11</v>
      </c>
      <c r="P10">
        <v>10</v>
      </c>
      <c r="Q10">
        <v>10</v>
      </c>
      <c r="R10">
        <v>10</v>
      </c>
      <c r="S10">
        <v>11</v>
      </c>
      <c r="T10">
        <f>HLOOKUP(1,$L$2:$S$11,10,TRUE)</f>
        <v>12</v>
      </c>
      <c r="U10" t="str">
        <f t="shared" ca="1" si="1"/>
        <v>D</v>
      </c>
    </row>
    <row r="11" spans="1:21" x14ac:dyDescent="0.3">
      <c r="A11" s="1">
        <v>10</v>
      </c>
      <c r="B11" s="1">
        <v>9</v>
      </c>
      <c r="C11" s="1" t="s">
        <v>36</v>
      </c>
      <c r="D11" s="4" t="s">
        <v>6</v>
      </c>
      <c r="E11" s="3" t="s">
        <v>6</v>
      </c>
      <c r="L11">
        <f>L10+1</f>
        <v>12</v>
      </c>
      <c r="M11">
        <v>12</v>
      </c>
      <c r="N11">
        <v>12</v>
      </c>
      <c r="O11">
        <v>12</v>
      </c>
      <c r="P11">
        <v>12</v>
      </c>
      <c r="Q11">
        <v>12</v>
      </c>
      <c r="R11">
        <v>12</v>
      </c>
      <c r="S11">
        <v>12</v>
      </c>
    </row>
    <row r="12" spans="1:21" x14ac:dyDescent="0.3">
      <c r="A12" s="1">
        <v>11</v>
      </c>
      <c r="B12" s="1" t="s">
        <v>26</v>
      </c>
      <c r="C12" s="1" t="s">
        <v>37</v>
      </c>
      <c r="D12" s="4" t="s">
        <v>2</v>
      </c>
      <c r="E12" s="3" t="s">
        <v>2</v>
      </c>
    </row>
    <row r="13" spans="1:21" x14ac:dyDescent="0.3">
      <c r="A13" s="1">
        <v>12</v>
      </c>
      <c r="B13" s="1" t="s">
        <v>0</v>
      </c>
      <c r="C13" s="1" t="s">
        <v>38</v>
      </c>
      <c r="D13" s="4" t="s">
        <v>7</v>
      </c>
      <c r="E13" s="3" t="s">
        <v>7</v>
      </c>
      <c r="J13" s="2" t="s">
        <v>19</v>
      </c>
      <c r="K13" s="5">
        <v>0</v>
      </c>
      <c r="M13" s="4"/>
    </row>
    <row r="14" spans="1:21" x14ac:dyDescent="0.3">
      <c r="B14" s="1">
        <v>10</v>
      </c>
      <c r="C14" s="1" t="s">
        <v>39</v>
      </c>
      <c r="E14" s="4" t="str">
        <f>E2</f>
        <v>A</v>
      </c>
      <c r="J14" t="s">
        <v>12</v>
      </c>
      <c r="K14" s="5">
        <v>1</v>
      </c>
      <c r="M14" s="4"/>
    </row>
    <row r="15" spans="1:21" x14ac:dyDescent="0.3">
      <c r="E15" s="4" t="str">
        <f t="shared" ref="E15:E23" si="2">E3</f>
        <v>A#</v>
      </c>
      <c r="J15" t="s">
        <v>17</v>
      </c>
      <c r="K15" s="5">
        <v>2</v>
      </c>
      <c r="M15" s="4"/>
    </row>
    <row r="16" spans="1:21" x14ac:dyDescent="0.3">
      <c r="E16" s="4" t="str">
        <f t="shared" si="2"/>
        <v>B</v>
      </c>
      <c r="J16" t="s">
        <v>13</v>
      </c>
      <c r="K16" s="5">
        <v>3</v>
      </c>
      <c r="M16" s="4"/>
    </row>
    <row r="17" spans="5:13" x14ac:dyDescent="0.3">
      <c r="E17" s="4" t="str">
        <f t="shared" si="2"/>
        <v>C</v>
      </c>
      <c r="J17" t="s">
        <v>20</v>
      </c>
      <c r="K17" s="5">
        <v>4</v>
      </c>
      <c r="M17" s="4"/>
    </row>
    <row r="18" spans="5:13" x14ac:dyDescent="0.3">
      <c r="E18" s="4" t="str">
        <f t="shared" si="2"/>
        <v>C#</v>
      </c>
      <c r="J18" t="s">
        <v>21</v>
      </c>
      <c r="K18" s="5">
        <v>5</v>
      </c>
      <c r="M18" s="4"/>
    </row>
    <row r="19" spans="5:13" x14ac:dyDescent="0.3">
      <c r="E19" s="4" t="str">
        <f t="shared" si="2"/>
        <v>D</v>
      </c>
      <c r="J19" t="s">
        <v>14</v>
      </c>
      <c r="K19" s="5">
        <v>6</v>
      </c>
      <c r="M19" s="4"/>
    </row>
    <row r="20" spans="5:13" x14ac:dyDescent="0.3">
      <c r="E20" s="4" t="str">
        <f t="shared" si="2"/>
        <v>D#</v>
      </c>
      <c r="J20" t="s">
        <v>22</v>
      </c>
      <c r="K20" s="5">
        <v>7</v>
      </c>
      <c r="M20" s="4"/>
    </row>
    <row r="21" spans="5:13" x14ac:dyDescent="0.3">
      <c r="E21" s="4" t="str">
        <f t="shared" si="2"/>
        <v>E</v>
      </c>
      <c r="J21" t="s">
        <v>15</v>
      </c>
      <c r="K21" s="5">
        <v>8</v>
      </c>
      <c r="M21" s="4"/>
    </row>
    <row r="22" spans="5:13" x14ac:dyDescent="0.3">
      <c r="E22" s="4" t="str">
        <f t="shared" si="2"/>
        <v>F</v>
      </c>
      <c r="J22" t="s">
        <v>23</v>
      </c>
      <c r="K22" s="5">
        <v>9</v>
      </c>
      <c r="M22" s="4"/>
    </row>
    <row r="23" spans="5:13" x14ac:dyDescent="0.3">
      <c r="E23" s="4" t="str">
        <f t="shared" si="2"/>
        <v>F#</v>
      </c>
      <c r="J23" t="s">
        <v>16</v>
      </c>
      <c r="K23" s="5">
        <v>10</v>
      </c>
      <c r="M23" s="4"/>
    </row>
    <row r="24" spans="5:13" x14ac:dyDescent="0.3">
      <c r="E24" s="4" t="str">
        <f>E12</f>
        <v>G</v>
      </c>
      <c r="J24" t="s">
        <v>24</v>
      </c>
      <c r="K24" s="5">
        <v>11</v>
      </c>
      <c r="M24" s="4"/>
    </row>
    <row r="25" spans="5:13" x14ac:dyDescent="0.3">
      <c r="E25" s="4" t="str">
        <f>E13</f>
        <v>G#</v>
      </c>
      <c r="J25" t="s">
        <v>18</v>
      </c>
      <c r="K25" s="5">
        <v>12</v>
      </c>
      <c r="M25" s="4"/>
    </row>
  </sheetData>
  <mergeCells count="3">
    <mergeCell ref="A1:C1"/>
    <mergeCell ref="H1:J1"/>
    <mergeCell ref="L1:S1"/>
  </mergeCells>
  <conditionalFormatting sqref="O7">
    <cfRule type="expression" dxfId="0" priority="2">
      <formula>ABS(O7-N7)-ABS(O7-P7)</formula>
    </cfRule>
  </conditionalFormatting>
  <conditionalFormatting sqref="L4:S1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3"/>
  <sheetViews>
    <sheetView tabSelected="1" topLeftCell="A28" workbookViewId="0">
      <selection activeCell="G35" sqref="G35"/>
    </sheetView>
  </sheetViews>
  <sheetFormatPr defaultRowHeight="14.4" x14ac:dyDescent="0.3"/>
  <cols>
    <col min="1" max="1" width="5.77734375" customWidth="1"/>
    <col min="2" max="2" width="6.33203125" customWidth="1"/>
    <col min="3" max="3" width="6" customWidth="1"/>
    <col min="4" max="4" width="5.77734375" customWidth="1"/>
    <col min="5" max="5" width="5.5546875" customWidth="1"/>
    <col min="6" max="6" width="5.33203125" customWidth="1"/>
    <col min="7" max="7" width="5" customWidth="1"/>
    <col min="8" max="8" width="4.77734375" customWidth="1"/>
    <col min="9" max="9" width="4.5546875" customWidth="1"/>
    <col min="10" max="10" width="4.33203125" customWidth="1"/>
    <col min="11" max="11" width="4" customWidth="1"/>
    <col min="12" max="12" width="3.77734375" customWidth="1"/>
    <col min="13" max="13" width="3.5546875" customWidth="1"/>
    <col min="14" max="14" width="3.33203125" customWidth="1"/>
    <col min="15" max="15" width="3" customWidth="1"/>
    <col min="16" max="16" width="2.77734375" customWidth="1"/>
    <col min="17" max="17" width="2.5546875" customWidth="1"/>
    <col min="18" max="18" width="2.33203125" customWidth="1"/>
    <col min="19" max="19" width="2" customWidth="1"/>
    <col min="20" max="20" width="1.77734375" customWidth="1"/>
  </cols>
  <sheetData>
    <row r="1" spans="1:20" x14ac:dyDescent="0.3">
      <c r="A1" s="9" t="s">
        <v>65</v>
      </c>
      <c r="B1" s="10" t="s">
        <v>70</v>
      </c>
      <c r="C1" s="11" t="s">
        <v>5</v>
      </c>
      <c r="D1" s="11" t="s">
        <v>67</v>
      </c>
      <c r="E1" s="11" t="s">
        <v>2</v>
      </c>
      <c r="F1" s="11" t="s">
        <v>68</v>
      </c>
      <c r="G1" s="11" t="s">
        <v>4</v>
      </c>
      <c r="H1" s="11" t="s">
        <v>66</v>
      </c>
      <c r="I1" s="11" t="s">
        <v>71</v>
      </c>
      <c r="J1" s="11" t="s">
        <v>9</v>
      </c>
      <c r="K1" s="11" t="s">
        <v>69</v>
      </c>
      <c r="L1" s="11" t="s">
        <v>3</v>
      </c>
      <c r="M1" s="11" t="s">
        <v>65</v>
      </c>
      <c r="N1" s="11" t="s">
        <v>70</v>
      </c>
      <c r="O1" s="11" t="s">
        <v>5</v>
      </c>
      <c r="P1" s="11" t="s">
        <v>67</v>
      </c>
      <c r="Q1" s="11" t="s">
        <v>2</v>
      </c>
      <c r="R1" s="11" t="s">
        <v>68</v>
      </c>
      <c r="S1" s="11" t="s">
        <v>4</v>
      </c>
      <c r="T1" s="11" t="s">
        <v>66</v>
      </c>
    </row>
    <row r="2" spans="1:20" x14ac:dyDescent="0.3">
      <c r="A2" s="9" t="s">
        <v>66</v>
      </c>
      <c r="B2" s="10" t="s">
        <v>71</v>
      </c>
      <c r="C2" s="11" t="s">
        <v>9</v>
      </c>
      <c r="D2" s="11" t="s">
        <v>69</v>
      </c>
      <c r="E2" s="11" t="s">
        <v>3</v>
      </c>
      <c r="F2" s="11" t="s">
        <v>65</v>
      </c>
      <c r="G2" s="11" t="s">
        <v>70</v>
      </c>
      <c r="H2" s="11" t="s">
        <v>5</v>
      </c>
      <c r="I2" s="11" t="s">
        <v>67</v>
      </c>
      <c r="J2" s="11" t="s">
        <v>2</v>
      </c>
      <c r="K2" s="11" t="s">
        <v>68</v>
      </c>
      <c r="L2" s="11" t="s">
        <v>4</v>
      </c>
      <c r="M2" s="11" t="s">
        <v>66</v>
      </c>
      <c r="N2" s="11" t="s">
        <v>71</v>
      </c>
      <c r="O2" s="11" t="s">
        <v>9</v>
      </c>
      <c r="P2" s="11" t="s">
        <v>69</v>
      </c>
      <c r="Q2" s="11" t="s">
        <v>3</v>
      </c>
      <c r="R2" s="11" t="s">
        <v>65</v>
      </c>
      <c r="S2" s="11" t="s">
        <v>70</v>
      </c>
      <c r="T2" s="11" t="s">
        <v>5</v>
      </c>
    </row>
    <row r="3" spans="1:20" x14ac:dyDescent="0.3">
      <c r="A3" s="9" t="s">
        <v>67</v>
      </c>
      <c r="B3" s="10" t="s">
        <v>2</v>
      </c>
      <c r="C3" s="11" t="s">
        <v>68</v>
      </c>
      <c r="D3" s="11" t="s">
        <v>4</v>
      </c>
      <c r="E3" s="11" t="s">
        <v>66</v>
      </c>
      <c r="F3" s="11" t="s">
        <v>71</v>
      </c>
      <c r="G3" s="11" t="s">
        <v>9</v>
      </c>
      <c r="H3" s="11" t="s">
        <v>69</v>
      </c>
      <c r="I3" s="11" t="s">
        <v>3</v>
      </c>
      <c r="J3" s="11" t="s">
        <v>65</v>
      </c>
      <c r="K3" s="11" t="s">
        <v>70</v>
      </c>
      <c r="L3" s="11" t="s">
        <v>5</v>
      </c>
      <c r="M3" s="11" t="s">
        <v>67</v>
      </c>
      <c r="N3" s="11" t="s">
        <v>2</v>
      </c>
      <c r="O3" s="11" t="s">
        <v>68</v>
      </c>
      <c r="P3" s="11" t="s">
        <v>4</v>
      </c>
      <c r="Q3" s="11" t="s">
        <v>66</v>
      </c>
      <c r="R3" s="11" t="s">
        <v>71</v>
      </c>
      <c r="S3" s="11" t="s">
        <v>9</v>
      </c>
      <c r="T3" s="11" t="s">
        <v>69</v>
      </c>
    </row>
    <row r="4" spans="1:20" x14ac:dyDescent="0.3">
      <c r="A4" s="9" t="s">
        <v>69</v>
      </c>
      <c r="B4" s="10" t="s">
        <v>3</v>
      </c>
      <c r="C4" s="11" t="s">
        <v>65</v>
      </c>
      <c r="D4" s="11" t="s">
        <v>70</v>
      </c>
      <c r="E4" s="11" t="s">
        <v>5</v>
      </c>
      <c r="F4" s="11" t="s">
        <v>67</v>
      </c>
      <c r="G4" s="11" t="s">
        <v>2</v>
      </c>
      <c r="H4" s="11" t="s">
        <v>68</v>
      </c>
      <c r="I4" s="11" t="s">
        <v>4</v>
      </c>
      <c r="J4" s="11" t="s">
        <v>66</v>
      </c>
      <c r="K4" s="11" t="s">
        <v>71</v>
      </c>
      <c r="L4" s="11" t="s">
        <v>9</v>
      </c>
      <c r="M4" s="11" t="s">
        <v>69</v>
      </c>
      <c r="N4" s="11" t="s">
        <v>3</v>
      </c>
      <c r="O4" s="11" t="s">
        <v>65</v>
      </c>
      <c r="P4" s="11" t="s">
        <v>70</v>
      </c>
      <c r="Q4" s="11" t="s">
        <v>5</v>
      </c>
      <c r="R4" s="11" t="s">
        <v>67</v>
      </c>
      <c r="S4" s="11" t="s">
        <v>2</v>
      </c>
      <c r="T4" s="11" t="s">
        <v>68</v>
      </c>
    </row>
    <row r="5" spans="1:20" x14ac:dyDescent="0.3">
      <c r="A5" s="9" t="s">
        <v>68</v>
      </c>
      <c r="B5" s="10" t="s">
        <v>4</v>
      </c>
      <c r="C5" s="11" t="s">
        <v>66</v>
      </c>
      <c r="D5" s="11" t="s">
        <v>71</v>
      </c>
      <c r="E5" s="11" t="s">
        <v>9</v>
      </c>
      <c r="F5" s="11" t="s">
        <v>69</v>
      </c>
      <c r="G5" s="11" t="s">
        <v>3</v>
      </c>
      <c r="H5" s="11" t="s">
        <v>65</v>
      </c>
      <c r="I5" s="11" t="s">
        <v>70</v>
      </c>
      <c r="J5" s="11" t="s">
        <v>5</v>
      </c>
      <c r="K5" s="11" t="s">
        <v>67</v>
      </c>
      <c r="L5" s="11" t="s">
        <v>2</v>
      </c>
      <c r="M5" s="11" t="s">
        <v>68</v>
      </c>
      <c r="N5" s="11" t="s">
        <v>4</v>
      </c>
      <c r="O5" s="11" t="s">
        <v>66</v>
      </c>
      <c r="P5" s="11" t="s">
        <v>71</v>
      </c>
      <c r="Q5" s="11" t="s">
        <v>9</v>
      </c>
      <c r="R5" s="11" t="s">
        <v>69</v>
      </c>
      <c r="S5" s="11" t="s">
        <v>3</v>
      </c>
      <c r="T5" s="11" t="s">
        <v>65</v>
      </c>
    </row>
    <row r="6" spans="1:20" x14ac:dyDescent="0.3">
      <c r="A6" s="9" t="s">
        <v>65</v>
      </c>
      <c r="B6" s="10" t="s">
        <v>70</v>
      </c>
      <c r="C6" s="11" t="s">
        <v>5</v>
      </c>
      <c r="D6" s="11" t="s">
        <v>67</v>
      </c>
      <c r="E6" s="11" t="s">
        <v>2</v>
      </c>
      <c r="F6" s="11" t="s">
        <v>68</v>
      </c>
      <c r="G6" s="11" t="s">
        <v>4</v>
      </c>
      <c r="H6" s="11" t="s">
        <v>66</v>
      </c>
      <c r="I6" s="11" t="s">
        <v>71</v>
      </c>
      <c r="J6" s="11" t="s">
        <v>9</v>
      </c>
      <c r="K6" s="11" t="s">
        <v>69</v>
      </c>
      <c r="L6" s="11" t="s">
        <v>3</v>
      </c>
      <c r="M6" s="11" t="s">
        <v>65</v>
      </c>
      <c r="N6" s="11" t="s">
        <v>70</v>
      </c>
      <c r="O6" s="11" t="s">
        <v>5</v>
      </c>
      <c r="P6" s="11" t="s">
        <v>67</v>
      </c>
      <c r="Q6" s="11" t="s">
        <v>2</v>
      </c>
      <c r="R6" s="11" t="s">
        <v>68</v>
      </c>
      <c r="S6" s="11" t="s">
        <v>4</v>
      </c>
      <c r="T6" s="11" t="s">
        <v>66</v>
      </c>
    </row>
    <row r="9" spans="1:20" x14ac:dyDescent="0.3">
      <c r="C9" s="8" t="s">
        <v>72</v>
      </c>
    </row>
    <row r="13" spans="1:20" x14ac:dyDescent="0.3">
      <c r="A13">
        <v>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C_P</vt:lpstr>
      <vt:lpstr>raw</vt:lpstr>
      <vt:lpstr>Board</vt:lpstr>
      <vt:lpstr>current_mode</vt:lpstr>
      <vt:lpstr>notes</vt:lpstr>
      <vt:lpstr>root_note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finge_000</dc:creator>
  <cp:lastModifiedBy>Currier, Matthew</cp:lastModifiedBy>
  <cp:lastPrinted>2015-03-05T01:48:23Z</cp:lastPrinted>
  <dcterms:created xsi:type="dcterms:W3CDTF">2015-03-05T01:40:08Z</dcterms:created>
  <dcterms:modified xsi:type="dcterms:W3CDTF">2015-03-31T19:36:47Z</dcterms:modified>
</cp:coreProperties>
</file>